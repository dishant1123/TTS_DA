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fa44234ee9b2914/Desktop/tops/TTS_DA/Adv_excel/"/>
    </mc:Choice>
  </mc:AlternateContent>
  <xr:revisionPtr revIDLastSave="0" documentId="8_{F28AB084-F9A0-436D-8A7C-014A9FF29E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1aug-sum,sumif,sumifs" sheetId="1" r:id="rId1"/>
    <sheet name="txt func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3" l="1"/>
  <c r="R4" i="3"/>
  <c r="R5" i="3"/>
  <c r="R6" i="3"/>
  <c r="R7" i="3"/>
  <c r="R8" i="3"/>
  <c r="R9" i="3"/>
  <c r="R10" i="3"/>
  <c r="R11" i="3"/>
  <c r="R2" i="3"/>
  <c r="P3" i="3"/>
  <c r="P4" i="3"/>
  <c r="P5" i="3"/>
  <c r="P6" i="3"/>
  <c r="P7" i="3"/>
  <c r="P8" i="3"/>
  <c r="P9" i="3"/>
  <c r="P10" i="3"/>
  <c r="P11" i="3"/>
  <c r="Q3" i="3"/>
  <c r="Q4" i="3"/>
  <c r="Q5" i="3"/>
  <c r="Q6" i="3"/>
  <c r="Q7" i="3"/>
  <c r="Q8" i="3"/>
  <c r="Q9" i="3"/>
  <c r="Q10" i="3"/>
  <c r="Q11" i="3"/>
  <c r="Q2" i="3"/>
  <c r="P2" i="3"/>
  <c r="O3" i="3"/>
  <c r="O4" i="3"/>
  <c r="O5" i="3"/>
  <c r="O6" i="3"/>
  <c r="O7" i="3"/>
  <c r="O8" i="3"/>
  <c r="O9" i="3"/>
  <c r="O10" i="3"/>
  <c r="O11" i="3"/>
  <c r="O2" i="3"/>
  <c r="N2" i="3"/>
  <c r="N3" i="3"/>
  <c r="N4" i="3"/>
  <c r="N5" i="3"/>
  <c r="N6" i="3"/>
  <c r="N7" i="3"/>
  <c r="N8" i="3"/>
  <c r="N9" i="3"/>
  <c r="N10" i="3"/>
  <c r="N11" i="3"/>
  <c r="M3" i="3"/>
  <c r="M4" i="3"/>
  <c r="M5" i="3"/>
  <c r="M6" i="3"/>
  <c r="M7" i="3"/>
  <c r="M8" i="3"/>
  <c r="M9" i="3"/>
  <c r="M10" i="3"/>
  <c r="M11" i="3"/>
  <c r="M2" i="3"/>
  <c r="L3" i="3"/>
  <c r="L4" i="3"/>
  <c r="L5" i="3"/>
  <c r="L6" i="3"/>
  <c r="L7" i="3"/>
  <c r="L8" i="3"/>
  <c r="L9" i="3"/>
  <c r="L10" i="3"/>
  <c r="L11" i="3"/>
  <c r="L2" i="3"/>
  <c r="K18" i="1"/>
  <c r="L15" i="1"/>
  <c r="K15" i="1"/>
  <c r="K13" i="1"/>
  <c r="K11" i="1"/>
  <c r="K9" i="1"/>
  <c r="K7" i="1"/>
  <c r="K5" i="1"/>
  <c r="K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K2" i="3"/>
  <c r="J2" i="3"/>
  <c r="I2" i="3"/>
  <c r="H2" i="3"/>
</calcChain>
</file>

<file path=xl/sharedStrings.xml><?xml version="1.0" encoding="utf-8"?>
<sst xmlns="http://schemas.openxmlformats.org/spreadsheetml/2006/main" count="151" uniqueCount="91">
  <si>
    <t>Order_ID</t>
  </si>
  <si>
    <t>Employee</t>
  </si>
  <si>
    <t>Region</t>
  </si>
  <si>
    <t>Product</t>
  </si>
  <si>
    <t>Category</t>
  </si>
  <si>
    <t>Sales</t>
  </si>
  <si>
    <t>Quantity</t>
  </si>
  <si>
    <t>Amit</t>
  </si>
  <si>
    <t>East</t>
  </si>
  <si>
    <t>Laptop</t>
  </si>
  <si>
    <t>Electronics</t>
  </si>
  <si>
    <t>Neha</t>
  </si>
  <si>
    <t>West</t>
  </si>
  <si>
    <t>Mouse</t>
  </si>
  <si>
    <t>Accessories</t>
  </si>
  <si>
    <t>Raj</t>
  </si>
  <si>
    <t>Keyboard</t>
  </si>
  <si>
    <t>Priya</t>
  </si>
  <si>
    <t>South</t>
  </si>
  <si>
    <t>Monitor</t>
  </si>
  <si>
    <t>North</t>
  </si>
  <si>
    <t>Product_Code</t>
  </si>
  <si>
    <t>Product_Name</t>
  </si>
  <si>
    <t>Customer_Code</t>
  </si>
  <si>
    <t>State_Code</t>
  </si>
  <si>
    <t>ORD-TX-2345</t>
  </si>
  <si>
    <t>MOB-APL-101</t>
  </si>
  <si>
    <t>Mobile-Apple</t>
  </si>
  <si>
    <t>CUST-AHM-001</t>
  </si>
  <si>
    <t>TX-2345</t>
  </si>
  <si>
    <t>ORD-CA-1289</t>
  </si>
  <si>
    <t>LAP-DEL-205</t>
  </si>
  <si>
    <t>Laptop-Dell</t>
  </si>
  <si>
    <t>CUST-MUM-002</t>
  </si>
  <si>
    <t>CA-1289</t>
  </si>
  <si>
    <t>ORD-NY-5678</t>
  </si>
  <si>
    <t>TAB-SAM-301</t>
  </si>
  <si>
    <t>Tablet-Samsung</t>
  </si>
  <si>
    <t>CUST-DEL-003</t>
  </si>
  <si>
    <t>NY-5678</t>
  </si>
  <si>
    <t>ORD-FL-4521</t>
  </si>
  <si>
    <t>TV-SON-405</t>
  </si>
  <si>
    <t>TV-Sony</t>
  </si>
  <si>
    <t>CUST-BLR-004</t>
  </si>
  <si>
    <t>FL-4521</t>
  </si>
  <si>
    <t>ORD-TX-7823</t>
  </si>
  <si>
    <t>MOB-SAM-502</t>
  </si>
  <si>
    <t>Mobile-Samsung</t>
  </si>
  <si>
    <t>CUST-SUR-005</t>
  </si>
  <si>
    <t>TX-7823</t>
  </si>
  <si>
    <t>ORD-CA-9134</t>
  </si>
  <si>
    <t>LAP-HP-601</t>
  </si>
  <si>
    <t>Laptop-HP</t>
  </si>
  <si>
    <t>CUST-PUN-006</t>
  </si>
  <si>
    <t>CA-9134</t>
  </si>
  <si>
    <t>ORD-NY-3467</t>
  </si>
  <si>
    <t>MOB-APL-702</t>
  </si>
  <si>
    <t>CUST-JAI-007</t>
  </si>
  <si>
    <t>NY-3467</t>
  </si>
  <si>
    <t>ORD-FL-8456</t>
  </si>
  <si>
    <t>TAB-LEN-803</t>
  </si>
  <si>
    <t>Tablet-Lenovo</t>
  </si>
  <si>
    <t>CUST-HYD-008</t>
  </si>
  <si>
    <t>FL-8456</t>
  </si>
  <si>
    <t>ORD-TX-6243</t>
  </si>
  <si>
    <t>LAP-LEN-904</t>
  </si>
  <si>
    <t>Laptop-Lenovo</t>
  </si>
  <si>
    <t>CUST-RAJ-009</t>
  </si>
  <si>
    <t>TX-6243</t>
  </si>
  <si>
    <t>ORD-CA-7352</t>
  </si>
  <si>
    <t>MOB-ONE-105</t>
  </si>
  <si>
    <t>Mobile-OnePlus</t>
  </si>
  <si>
    <t>CUST-NAG-010</t>
  </si>
  <si>
    <t>CA-7352</t>
  </si>
  <si>
    <t>Total sales</t>
  </si>
  <si>
    <t>1.Total sales for  all category</t>
  </si>
  <si>
    <t>2. region =east calculate the total sales</t>
  </si>
  <si>
    <t>3.calculate the amit total sales</t>
  </si>
  <si>
    <t>4.region =east and category =electronics calculate the total sale</t>
  </si>
  <si>
    <t>5.name=neha,region=west,product=laptop print sales</t>
  </si>
  <si>
    <t>6.region=south ,product=monitor,category=electronics print Quntity</t>
  </si>
  <si>
    <t>7. total count product of electronics</t>
  </si>
  <si>
    <t xml:space="preserve">count ,countif , countifs </t>
  </si>
  <si>
    <t>8. total count  of  electronics item for laptop</t>
  </si>
  <si>
    <t>left</t>
  </si>
  <si>
    <t>find</t>
  </si>
  <si>
    <t>left-1</t>
  </si>
  <si>
    <t>right</t>
  </si>
  <si>
    <t>textafter</t>
  </si>
  <si>
    <t>textbefore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</si>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</sst>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pane ySplit="1" topLeftCell="A5" activePane="bottomLeft" state="frozen"/>
      <selection pane="bottomLeft" activeCell="D16" sqref="D16"/>
    </sheetView>
  </sheetViews>
  <sheetFormatPr defaultRowHeight="14.5" x14ac:dyDescent="0.35"/>
  <cols>
    <col min="1" max="2" width="10" customWidth="1"/>
    <col min="3" max="3" width="8" customWidth="1"/>
    <col min="4" max="4" width="10" customWidth="1"/>
    <col min="5" max="5" width="13" customWidth="1"/>
    <col min="6" max="6" width="7.26953125" bestFit="1" customWidth="1"/>
    <col min="7" max="7" width="10" customWidth="1"/>
    <col min="10" max="10" width="58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74</v>
      </c>
    </row>
    <row r="2" spans="1:12" x14ac:dyDescent="0.35">
      <c r="A2">
        <v>1001</v>
      </c>
      <c r="B2" t="s">
        <v>7</v>
      </c>
      <c r="C2" t="s">
        <v>8</v>
      </c>
      <c r="D2" t="s">
        <v>9</v>
      </c>
      <c r="E2" t="s">
        <v>10</v>
      </c>
      <c r="F2" s="2">
        <v>55000</v>
      </c>
      <c r="G2">
        <v>2</v>
      </c>
      <c r="H2">
        <f>F2*G2</f>
        <v>110000</v>
      </c>
    </row>
    <row r="3" spans="1:12" x14ac:dyDescent="0.35">
      <c r="A3">
        <v>1002</v>
      </c>
      <c r="B3" t="s">
        <v>11</v>
      </c>
      <c r="C3" t="s">
        <v>12</v>
      </c>
      <c r="D3" t="s">
        <v>13</v>
      </c>
      <c r="E3" t="s">
        <v>14</v>
      </c>
      <c r="F3" s="2">
        <v>1200</v>
      </c>
      <c r="G3">
        <v>5</v>
      </c>
      <c r="H3">
        <f t="shared" ref="H3:H16" si="0">F3*G3</f>
        <v>6000</v>
      </c>
      <c r="J3" t="s">
        <v>75</v>
      </c>
      <c r="K3">
        <f>SUM(H2:H16)</f>
        <v>793000</v>
      </c>
    </row>
    <row r="4" spans="1:12" x14ac:dyDescent="0.35">
      <c r="A4">
        <v>1003</v>
      </c>
      <c r="B4" t="s">
        <v>15</v>
      </c>
      <c r="C4" t="s">
        <v>8</v>
      </c>
      <c r="D4" t="s">
        <v>16</v>
      </c>
      <c r="E4" t="s">
        <v>14</v>
      </c>
      <c r="F4" s="2">
        <v>2500</v>
      </c>
      <c r="G4">
        <v>4</v>
      </c>
      <c r="H4">
        <f t="shared" si="0"/>
        <v>10000</v>
      </c>
    </row>
    <row r="5" spans="1:12" x14ac:dyDescent="0.35">
      <c r="A5">
        <v>1004</v>
      </c>
      <c r="B5" t="s">
        <v>17</v>
      </c>
      <c r="C5" t="s">
        <v>18</v>
      </c>
      <c r="D5" t="s">
        <v>9</v>
      </c>
      <c r="E5" t="s">
        <v>10</v>
      </c>
      <c r="F5" s="2">
        <v>60000</v>
      </c>
      <c r="G5">
        <v>2</v>
      </c>
      <c r="H5">
        <f t="shared" si="0"/>
        <v>120000</v>
      </c>
      <c r="J5" t="s">
        <v>76</v>
      </c>
      <c r="K5">
        <f>SUMIF(C2:C16,"East",F2:F16)</f>
        <v>130900</v>
      </c>
    </row>
    <row r="6" spans="1:12" x14ac:dyDescent="0.35">
      <c r="A6">
        <v>1005</v>
      </c>
      <c r="B6" t="s">
        <v>7</v>
      </c>
      <c r="C6" t="s">
        <v>12</v>
      </c>
      <c r="D6" t="s">
        <v>19</v>
      </c>
      <c r="E6" t="s">
        <v>10</v>
      </c>
      <c r="F6" s="2">
        <v>18000</v>
      </c>
      <c r="G6">
        <v>3</v>
      </c>
      <c r="H6">
        <f t="shared" si="0"/>
        <v>54000</v>
      </c>
    </row>
    <row r="7" spans="1:12" x14ac:dyDescent="0.35">
      <c r="A7">
        <v>1006</v>
      </c>
      <c r="B7" t="s">
        <v>11</v>
      </c>
      <c r="C7" t="s">
        <v>8</v>
      </c>
      <c r="D7" t="s">
        <v>9</v>
      </c>
      <c r="E7" t="s">
        <v>10</v>
      </c>
      <c r="F7" s="2">
        <v>52000</v>
      </c>
      <c r="G7">
        <v>1</v>
      </c>
      <c r="H7">
        <f t="shared" si="0"/>
        <v>52000</v>
      </c>
      <c r="J7" t="s">
        <v>77</v>
      </c>
      <c r="K7">
        <f>SUMIF(B2:B16,"Amit",F2:F16)</f>
        <v>155000</v>
      </c>
    </row>
    <row r="8" spans="1:12" x14ac:dyDescent="0.35">
      <c r="A8">
        <v>1007</v>
      </c>
      <c r="B8" t="s">
        <v>15</v>
      </c>
      <c r="C8" t="s">
        <v>20</v>
      </c>
      <c r="D8" t="s">
        <v>13</v>
      </c>
      <c r="E8" t="s">
        <v>14</v>
      </c>
      <c r="F8" s="2">
        <v>1500</v>
      </c>
      <c r="G8">
        <v>6</v>
      </c>
      <c r="H8">
        <f t="shared" si="0"/>
        <v>9000</v>
      </c>
    </row>
    <row r="9" spans="1:12" x14ac:dyDescent="0.35">
      <c r="A9">
        <v>1008</v>
      </c>
      <c r="B9" t="s">
        <v>17</v>
      </c>
      <c r="C9" t="s">
        <v>18</v>
      </c>
      <c r="D9" t="s">
        <v>16</v>
      </c>
      <c r="E9" t="s">
        <v>14</v>
      </c>
      <c r="F9" s="2">
        <v>3000</v>
      </c>
      <c r="G9">
        <v>5</v>
      </c>
      <c r="H9">
        <f t="shared" si="0"/>
        <v>15000</v>
      </c>
      <c r="J9" t="s">
        <v>78</v>
      </c>
      <c r="K9">
        <f>SUMIFS(F2:F16,C2:C16,"East",E2:E16,"Electronics")</f>
        <v>127000</v>
      </c>
    </row>
    <row r="10" spans="1:12" x14ac:dyDescent="0.35">
      <c r="A10">
        <v>1009</v>
      </c>
      <c r="B10" t="s">
        <v>7</v>
      </c>
      <c r="C10" t="s">
        <v>8</v>
      </c>
      <c r="D10" t="s">
        <v>19</v>
      </c>
      <c r="E10" t="s">
        <v>10</v>
      </c>
      <c r="F10" s="2">
        <v>20000</v>
      </c>
      <c r="G10">
        <v>2</v>
      </c>
      <c r="H10">
        <f t="shared" si="0"/>
        <v>40000</v>
      </c>
    </row>
    <row r="11" spans="1:12" x14ac:dyDescent="0.35">
      <c r="A11">
        <v>1010</v>
      </c>
      <c r="B11" t="s">
        <v>11</v>
      </c>
      <c r="C11" t="s">
        <v>12</v>
      </c>
      <c r="D11" t="s">
        <v>9</v>
      </c>
      <c r="E11" t="s">
        <v>10</v>
      </c>
      <c r="F11" s="2">
        <v>58000</v>
      </c>
      <c r="G11">
        <v>2</v>
      </c>
      <c r="H11">
        <f t="shared" si="0"/>
        <v>116000</v>
      </c>
      <c r="J11" t="s">
        <v>79</v>
      </c>
      <c r="K11">
        <f>SUMIFS(F2:F16,B2:B16,"Neha",C2:C16,"West",D2:D16,"Laptop")</f>
        <v>58000</v>
      </c>
    </row>
    <row r="12" spans="1:12" x14ac:dyDescent="0.35">
      <c r="A12">
        <v>1011</v>
      </c>
      <c r="B12" t="s">
        <v>15</v>
      </c>
      <c r="C12" t="s">
        <v>20</v>
      </c>
      <c r="D12" t="s">
        <v>16</v>
      </c>
      <c r="E12" t="s">
        <v>14</v>
      </c>
      <c r="F12" s="2">
        <v>2800</v>
      </c>
      <c r="G12">
        <v>4</v>
      </c>
      <c r="H12">
        <f t="shared" si="0"/>
        <v>11200</v>
      </c>
    </row>
    <row r="13" spans="1:12" x14ac:dyDescent="0.35">
      <c r="A13">
        <v>1012</v>
      </c>
      <c r="B13" t="s">
        <v>17</v>
      </c>
      <c r="C13" t="s">
        <v>18</v>
      </c>
      <c r="D13" t="s">
        <v>19</v>
      </c>
      <c r="E13" t="s">
        <v>10</v>
      </c>
      <c r="F13" s="2">
        <v>22000</v>
      </c>
      <c r="G13">
        <v>3</v>
      </c>
      <c r="H13">
        <f t="shared" si="0"/>
        <v>66000</v>
      </c>
      <c r="J13" t="s">
        <v>80</v>
      </c>
      <c r="K13">
        <f>SUMIFS(G2:G16,C2:C16,"South",D2:D16,"Monitor",E2:E16,"Electronics")</f>
        <v>3</v>
      </c>
    </row>
    <row r="14" spans="1:12" x14ac:dyDescent="0.35">
      <c r="A14">
        <v>1013</v>
      </c>
      <c r="B14" t="s">
        <v>7</v>
      </c>
      <c r="C14" t="s">
        <v>12</v>
      </c>
      <c r="D14" t="s">
        <v>9</v>
      </c>
      <c r="E14" t="s">
        <v>10</v>
      </c>
      <c r="F14" s="2">
        <v>62000</v>
      </c>
      <c r="G14">
        <v>2</v>
      </c>
      <c r="H14">
        <f t="shared" si="0"/>
        <v>124000</v>
      </c>
    </row>
    <row r="15" spans="1:12" x14ac:dyDescent="0.35">
      <c r="A15">
        <v>1014</v>
      </c>
      <c r="B15" t="s">
        <v>11</v>
      </c>
      <c r="C15" t="s">
        <v>8</v>
      </c>
      <c r="D15" t="s">
        <v>13</v>
      </c>
      <c r="E15" t="s">
        <v>14</v>
      </c>
      <c r="F15" s="2">
        <v>1400</v>
      </c>
      <c r="G15">
        <v>7</v>
      </c>
      <c r="H15">
        <f t="shared" si="0"/>
        <v>9800</v>
      </c>
      <c r="J15" t="s">
        <v>81</v>
      </c>
      <c r="K15">
        <f>COUNTIF(D2:D16,"Laptop")</f>
        <v>6</v>
      </c>
      <c r="L15">
        <f>COUNTIF(E2:E16,"Electronics")</f>
        <v>9</v>
      </c>
    </row>
    <row r="16" spans="1:12" x14ac:dyDescent="0.35">
      <c r="A16">
        <v>1015</v>
      </c>
      <c r="B16" t="s">
        <v>15</v>
      </c>
      <c r="C16" t="s">
        <v>20</v>
      </c>
      <c r="D16" t="s">
        <v>9</v>
      </c>
      <c r="E16" t="s">
        <v>10</v>
      </c>
      <c r="F16" s="2">
        <v>50000</v>
      </c>
      <c r="G16">
        <v>1</v>
      </c>
      <c r="H16">
        <f t="shared" si="0"/>
        <v>50000</v>
      </c>
      <c r="J16" t="s">
        <v>82</v>
      </c>
    </row>
    <row r="18" spans="10:11" x14ac:dyDescent="0.35">
      <c r="J18" t="s">
        <v>83</v>
      </c>
      <c r="K18">
        <f>COUNTIFS(D2:D16,"Laptop",E2:E16,"Electronics")</f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7AC05-CAA0-4CFF-B20E-5093BECAE0C9}">
  <dimension ref="A1:R11"/>
  <sheetViews>
    <sheetView topLeftCell="D1" workbookViewId="0">
      <selection activeCell="O1" sqref="O1"/>
    </sheetView>
  </sheetViews>
  <sheetFormatPr defaultRowHeight="14.5" x14ac:dyDescent="0.35"/>
  <cols>
    <col min="1" max="1" width="14.36328125" customWidth="1"/>
    <col min="2" max="2" width="16.36328125" customWidth="1"/>
    <col min="3" max="3" width="16.26953125" customWidth="1"/>
    <col min="4" max="4" width="17.36328125" customWidth="1"/>
    <col min="5" max="5" width="12.6328125" customWidth="1"/>
    <col min="6" max="6" width="12.90625" customWidth="1"/>
    <col min="7" max="7" width="13.54296875" customWidth="1"/>
  </cols>
  <sheetData>
    <row r="1" spans="1:18" ht="29" x14ac:dyDescent="0.35">
      <c r="A1" s="3" t="s">
        <v>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4</v>
      </c>
      <c r="G1" s="3" t="s">
        <v>5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</row>
    <row r="2" spans="1:18" ht="29" x14ac:dyDescent="0.35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10</v>
      </c>
      <c r="G2">
        <v>12500</v>
      </c>
      <c r="H2" t="str">
        <f>LEFT(C2,6)</f>
        <v>Mobile</v>
      </c>
      <c r="I2" t="str">
        <f>RIGHT(E2,4)</f>
        <v>2345</v>
      </c>
      <c r="J2" t="str">
        <f>MID(B2,5,3)</f>
        <v>APL</v>
      </c>
      <c r="K2" t="str">
        <f>TEXT(G2,"₹#,##0")</f>
        <v>₹12,500</v>
      </c>
      <c r="L2" t="str">
        <f>LEFT(C2,6)</f>
        <v>Mobile</v>
      </c>
      <c r="M2">
        <f>FIND("-",C2)</f>
        <v>7</v>
      </c>
      <c r="N2" t="str">
        <f>LEFT(C2,M2-1)</f>
        <v>Mobile</v>
      </c>
      <c r="O2" t="str">
        <f>RIGHT(E2,4)</f>
        <v>2345</v>
      </c>
      <c r="P2" t="str">
        <f>_xlfn.TEXTAFTER(E2,"-")</f>
        <v>2345</v>
      </c>
      <c r="Q2" t="str">
        <f>_xlfn.TEXTBEFORE(E2,"-")</f>
        <v>TX</v>
      </c>
      <c r="R2" t="str">
        <f>MID(B2,5,3)</f>
        <v>APL</v>
      </c>
    </row>
    <row r="3" spans="1:18" ht="43.5" x14ac:dyDescent="0.35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10</v>
      </c>
      <c r="G3">
        <v>8750</v>
      </c>
      <c r="L3" t="str">
        <f t="shared" ref="L3:L11" si="0">LEFT(C3,6)</f>
        <v>Laptop</v>
      </c>
      <c r="M3">
        <f t="shared" ref="M3:M11" si="1">FIND("-",C3)</f>
        <v>7</v>
      </c>
      <c r="N3" t="str">
        <f t="shared" ref="N3:N11" si="2">LEFT(C3,M3-1)</f>
        <v>Laptop</v>
      </c>
      <c r="O3" t="str">
        <f t="shared" ref="O3:O11" si="3">RIGHT(E3,4)</f>
        <v>1289</v>
      </c>
      <c r="P3" t="str">
        <f t="shared" ref="P3:P11" si="4">_xlfn.TEXTAFTER(E3,"-")</f>
        <v>1289</v>
      </c>
      <c r="Q3" t="str">
        <f t="shared" ref="Q3:Q11" si="5">_xlfn.TEXTBEFORE(E3,"-")</f>
        <v>CA</v>
      </c>
      <c r="R3" t="str">
        <f t="shared" ref="R3:R11" si="6">MID(B3,5,3)</f>
        <v>DEL</v>
      </c>
    </row>
    <row r="4" spans="1:18" ht="29" x14ac:dyDescent="0.35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10</v>
      </c>
      <c r="G4">
        <v>15200</v>
      </c>
      <c r="L4" t="str">
        <f t="shared" si="0"/>
        <v>Tablet</v>
      </c>
      <c r="M4">
        <f t="shared" si="1"/>
        <v>7</v>
      </c>
      <c r="N4" t="str">
        <f t="shared" si="2"/>
        <v>Tablet</v>
      </c>
      <c r="O4" t="str">
        <f t="shared" si="3"/>
        <v>5678</v>
      </c>
      <c r="P4" t="str">
        <f t="shared" si="4"/>
        <v>5678</v>
      </c>
      <c r="Q4" t="str">
        <f t="shared" si="5"/>
        <v>NY</v>
      </c>
      <c r="R4" t="str">
        <f t="shared" si="6"/>
        <v>SAM</v>
      </c>
    </row>
    <row r="5" spans="1:18" ht="29" x14ac:dyDescent="0.35">
      <c r="A5" s="4" t="s">
        <v>40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10</v>
      </c>
      <c r="G5">
        <v>9500</v>
      </c>
      <c r="L5" t="str">
        <f t="shared" si="0"/>
        <v>TV-Son</v>
      </c>
      <c r="M5">
        <f t="shared" si="1"/>
        <v>3</v>
      </c>
      <c r="N5" t="str">
        <f t="shared" si="2"/>
        <v>TV</v>
      </c>
      <c r="O5" t="str">
        <f t="shared" si="3"/>
        <v>4521</v>
      </c>
      <c r="P5" t="str">
        <f t="shared" si="4"/>
        <v>4521</v>
      </c>
      <c r="Q5" t="str">
        <f t="shared" si="5"/>
        <v>FL</v>
      </c>
      <c r="R5" t="str">
        <f t="shared" si="6"/>
        <v>ON-</v>
      </c>
    </row>
    <row r="6" spans="1:18" ht="29" x14ac:dyDescent="0.3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10</v>
      </c>
      <c r="G6">
        <v>12500</v>
      </c>
      <c r="L6" t="str">
        <f t="shared" si="0"/>
        <v>Mobile</v>
      </c>
      <c r="M6">
        <f t="shared" si="1"/>
        <v>7</v>
      </c>
      <c r="N6" t="str">
        <f t="shared" si="2"/>
        <v>Mobile</v>
      </c>
      <c r="O6" t="str">
        <f t="shared" si="3"/>
        <v>7823</v>
      </c>
      <c r="P6" t="str">
        <f t="shared" si="4"/>
        <v>7823</v>
      </c>
      <c r="Q6" t="str">
        <f t="shared" si="5"/>
        <v>TX</v>
      </c>
      <c r="R6" t="str">
        <f t="shared" si="6"/>
        <v>SAM</v>
      </c>
    </row>
    <row r="7" spans="1:18" ht="29" x14ac:dyDescent="0.35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10</v>
      </c>
      <c r="G7">
        <v>8750</v>
      </c>
      <c r="L7" t="str">
        <f t="shared" si="0"/>
        <v>Laptop</v>
      </c>
      <c r="M7">
        <f t="shared" si="1"/>
        <v>7</v>
      </c>
      <c r="N7" t="str">
        <f t="shared" si="2"/>
        <v>Laptop</v>
      </c>
      <c r="O7" t="str">
        <f t="shared" si="3"/>
        <v>9134</v>
      </c>
      <c r="P7" t="str">
        <f t="shared" si="4"/>
        <v>9134</v>
      </c>
      <c r="Q7" t="str">
        <f t="shared" si="5"/>
        <v>CA</v>
      </c>
      <c r="R7" t="str">
        <f t="shared" si="6"/>
        <v>HP-</v>
      </c>
    </row>
    <row r="8" spans="1:18" ht="29" x14ac:dyDescent="0.35">
      <c r="A8" s="4" t="s">
        <v>55</v>
      </c>
      <c r="B8" s="4" t="s">
        <v>56</v>
      </c>
      <c r="C8" s="4" t="s">
        <v>27</v>
      </c>
      <c r="D8" s="4" t="s">
        <v>57</v>
      </c>
      <c r="E8" s="4" t="s">
        <v>58</v>
      </c>
      <c r="F8" s="4" t="s">
        <v>10</v>
      </c>
      <c r="G8">
        <v>15200</v>
      </c>
      <c r="L8" t="str">
        <f t="shared" si="0"/>
        <v>Mobile</v>
      </c>
      <c r="M8">
        <f t="shared" si="1"/>
        <v>7</v>
      </c>
      <c r="N8" t="str">
        <f t="shared" si="2"/>
        <v>Mobile</v>
      </c>
      <c r="O8" t="str">
        <f t="shared" si="3"/>
        <v>3467</v>
      </c>
      <c r="P8" t="str">
        <f t="shared" si="4"/>
        <v>3467</v>
      </c>
      <c r="Q8" t="str">
        <f t="shared" si="5"/>
        <v>NY</v>
      </c>
      <c r="R8" t="str">
        <f t="shared" si="6"/>
        <v>APL</v>
      </c>
    </row>
    <row r="9" spans="1:18" ht="29" x14ac:dyDescent="0.35">
      <c r="A9" s="4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10</v>
      </c>
      <c r="G9">
        <v>9500</v>
      </c>
      <c r="L9" t="str">
        <f t="shared" si="0"/>
        <v>Tablet</v>
      </c>
      <c r="M9">
        <f t="shared" si="1"/>
        <v>7</v>
      </c>
      <c r="N9" t="str">
        <f t="shared" si="2"/>
        <v>Tablet</v>
      </c>
      <c r="O9" t="str">
        <f t="shared" si="3"/>
        <v>8456</v>
      </c>
      <c r="P9" t="str">
        <f t="shared" si="4"/>
        <v>8456</v>
      </c>
      <c r="Q9" t="str">
        <f t="shared" si="5"/>
        <v>FL</v>
      </c>
      <c r="R9" t="str">
        <f t="shared" si="6"/>
        <v>LEN</v>
      </c>
    </row>
    <row r="10" spans="1:18" ht="29" x14ac:dyDescent="0.35">
      <c r="A10" s="4" t="s">
        <v>64</v>
      </c>
      <c r="B10" s="4" t="s">
        <v>65</v>
      </c>
      <c r="C10" s="4" t="s">
        <v>66</v>
      </c>
      <c r="D10" s="4" t="s">
        <v>67</v>
      </c>
      <c r="E10" s="4" t="s">
        <v>68</v>
      </c>
      <c r="F10" s="4" t="s">
        <v>10</v>
      </c>
      <c r="G10">
        <v>12500</v>
      </c>
      <c r="L10" t="str">
        <f t="shared" si="0"/>
        <v>Laptop</v>
      </c>
      <c r="M10">
        <f t="shared" si="1"/>
        <v>7</v>
      </c>
      <c r="N10" t="str">
        <f t="shared" si="2"/>
        <v>Laptop</v>
      </c>
      <c r="O10" t="str">
        <f t="shared" si="3"/>
        <v>6243</v>
      </c>
      <c r="P10" t="str">
        <f t="shared" si="4"/>
        <v>6243</v>
      </c>
      <c r="Q10" t="str">
        <f t="shared" si="5"/>
        <v>TX</v>
      </c>
      <c r="R10" t="str">
        <f t="shared" si="6"/>
        <v>LEN</v>
      </c>
    </row>
    <row r="11" spans="1:18" ht="29" x14ac:dyDescent="0.35">
      <c r="A11" s="4" t="s">
        <v>69</v>
      </c>
      <c r="B11" s="4" t="s">
        <v>70</v>
      </c>
      <c r="C11" s="4" t="s">
        <v>71</v>
      </c>
      <c r="D11" s="4" t="s">
        <v>72</v>
      </c>
      <c r="E11" s="4" t="s">
        <v>73</v>
      </c>
      <c r="F11" s="4" t="s">
        <v>10</v>
      </c>
      <c r="G11">
        <v>8750</v>
      </c>
      <c r="L11" t="str">
        <f t="shared" si="0"/>
        <v>Mobile</v>
      </c>
      <c r="M11">
        <f t="shared" si="1"/>
        <v>7</v>
      </c>
      <c r="N11" t="str">
        <f t="shared" si="2"/>
        <v>Mobile</v>
      </c>
      <c r="O11" t="str">
        <f t="shared" si="3"/>
        <v>7352</v>
      </c>
      <c r="P11" t="str">
        <f t="shared" si="4"/>
        <v>7352</v>
      </c>
      <c r="Q11" t="str">
        <f t="shared" si="5"/>
        <v>CA</v>
      </c>
      <c r="R11" t="str">
        <f t="shared" si="6"/>
        <v>ONE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11aug-sum,sumif,sumifs</vt:lpstr>
      <vt:lpstr>txt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Dishant Shah</cp:lastModifiedBy>
  <dcterms:created xsi:type="dcterms:W3CDTF">2026-08-08T01:28:58Z</dcterms:created>
  <dcterms:modified xsi:type="dcterms:W3CDTF">2026-08-11T05:23:22Z</dcterms:modified>
</cp:coreProperties>
</file>