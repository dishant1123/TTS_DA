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5046E46D-3854-4AF1-9119-A1A818AC5582}" xr6:coauthVersionLast="47" xr6:coauthVersionMax="47" xr10:uidLastSave="{00000000-0000-0000-0000-000000000000}"/>
  <bookViews>
    <workbookView xWindow="-110" yWindow="-110" windowWidth="19420" windowHeight="10300" xr2:uid="{38EC68ED-AF84-462E-A497-A8E035BB1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2" i="1"/>
  <c r="J3" i="1"/>
  <c r="J4" i="1"/>
  <c r="J5" i="1"/>
  <c r="J6" i="1"/>
  <c r="J7" i="1"/>
  <c r="J8" i="1"/>
  <c r="J9" i="1"/>
  <c r="J10" i="1"/>
  <c r="J11" i="1"/>
  <c r="I3" i="1" a="1"/>
  <c r="I3" i="1" s="1"/>
  <c r="I4" i="1" a="1"/>
  <c r="I4" i="1" s="1"/>
  <c r="I5" i="1" a="1"/>
  <c r="I5" i="1" s="1"/>
  <c r="I6" i="1" a="1"/>
  <c r="I6" i="1" s="1"/>
  <c r="I7" i="1" a="1"/>
  <c r="I7" i="1"/>
  <c r="I8" i="1" a="1"/>
  <c r="I8" i="1"/>
  <c r="I9" i="1" a="1"/>
  <c r="I9" i="1" s="1"/>
  <c r="I10" i="1" a="1"/>
  <c r="I10" i="1" s="1"/>
  <c r="I11" i="1" a="1"/>
  <c r="I11" i="1" s="1"/>
  <c r="I2" i="1" a="1"/>
  <c r="I2" i="1" s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<sst xmlns="http://schemas.openxmlformats.org/spreadsheetml/2006/main" count="55" uniqueCount="36">
  <si>
    <t>Student_ID</t>
  </si>
  <si>
    <t>Student_Name</t>
  </si>
  <si>
    <t>Marks</t>
  </si>
  <si>
    <t>Attendance</t>
  </si>
  <si>
    <t>Assignment</t>
  </si>
  <si>
    <t>Project</t>
  </si>
  <si>
    <t>S001</t>
  </si>
  <si>
    <t>Rahul</t>
  </si>
  <si>
    <t>Yes</t>
  </si>
  <si>
    <t>S002</t>
  </si>
  <si>
    <t>Priya</t>
  </si>
  <si>
    <t>S003</t>
  </si>
  <si>
    <t>Amit</t>
  </si>
  <si>
    <t>No</t>
  </si>
  <si>
    <t>S004</t>
  </si>
  <si>
    <t>Neha</t>
  </si>
  <si>
    <t>S005</t>
  </si>
  <si>
    <t>Rohan</t>
  </si>
  <si>
    <t>S006</t>
  </si>
  <si>
    <t>Sneha</t>
  </si>
  <si>
    <t>S007</t>
  </si>
  <si>
    <t>Karan</t>
  </si>
  <si>
    <t>S008</t>
  </si>
  <si>
    <t>Pooja</t>
  </si>
  <si>
    <t>S009</t>
  </si>
  <si>
    <t>Jay</t>
  </si>
  <si>
    <t>S010</t>
  </si>
  <si>
    <t>Meera</t>
  </si>
  <si>
    <t>and function marks &gt;50 attendance75</t>
  </si>
  <si>
    <t>XOR</t>
  </si>
  <si>
    <t>IF Function</t>
  </si>
  <si>
    <t>GRADE</t>
  </si>
  <si>
    <t>90+ ----&gt;A+</t>
  </si>
  <si>
    <t>80-90  ----&gt; A</t>
  </si>
  <si>
    <t>OR</t>
  </si>
  <si>
    <t xml:space="preserve">note :----&gt; 2 con true ----&gt; not  false true ---&gt; eligible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</si>
</sst>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B281-34AC-4E02-8FD3-0BC52C40CCE0}">
  <dimension ref="A1:M16"/>
  <sheetViews>
    <sheetView tabSelected="1" workbookViewId="0">
      <selection activeCell="M5" sqref="M5"/>
    </sheetView>
  </sheetViews>
  <sheetFormatPr defaultRowHeight="14.5" x14ac:dyDescent="0.35"/>
  <cols>
    <col min="1" max="1" width="13" customWidth="1"/>
    <col min="2" max="2" width="16.54296875" customWidth="1"/>
    <col min="3" max="3" width="5.6328125" customWidth="1"/>
    <col min="4" max="4" width="12.81640625" customWidth="1"/>
    <col min="5" max="5" width="15.81640625" customWidth="1"/>
    <col min="6" max="6" width="13.453125" customWidth="1"/>
    <col min="10" max="10" width="16.26953125" style="7" customWidth="1"/>
    <col min="12" max="12" width="9.81640625" bestFit="1" customWidth="1"/>
    <col min="13" max="13" width="19.08984375" style="5" customWidth="1"/>
  </cols>
  <sheetData>
    <row r="1" spans="1:13" ht="43.5" x14ac:dyDescent="0.3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31</v>
      </c>
      <c r="J1" s="8" t="s">
        <v>28</v>
      </c>
      <c r="K1" s="1" t="s">
        <v>34</v>
      </c>
      <c r="L1" s="9" t="s">
        <v>29</v>
      </c>
      <c r="M1" s="6"/>
    </row>
    <row r="2" spans="1:13" x14ac:dyDescent="0.35">
      <c r="A2" s="4" t="s">
        <v>6</v>
      </c>
      <c r="B2" s="4" t="s">
        <v>7</v>
      </c>
      <c r="C2" s="2">
        <v>95</v>
      </c>
      <c r="D2" s="2">
        <v>92</v>
      </c>
      <c r="E2" s="4" t="s">
        <v>8</v>
      </c>
      <c r="F2" s="4" t="s">
        <v>8</v>
      </c>
      <c r="G2" t="str">
        <f>IF(C2&gt;50,"PASS","FAIL")</f>
        <v>PASS</v>
      </c>
      <c r="H2" t="str">
        <f>IF(C2&gt;90,"A+",IF(C2&gt;70,"B+","C+"))</f>
        <v>A+</v>
      </c>
      <c r="I2" t="str" cm="1">
        <f t="array" ref="I2">_xlfn.IFS(C2&gt;90,"A+",C2&gt;70,"B+",C2&gt;50,"C+",C2&lt;40,"F")</f>
        <v>A+</v>
      </c>
      <c r="J2" s="7" t="str">
        <f>IF(AND(C2&gt;50,D2&gt;75),"Eligible","Not eligible")</f>
        <v>Eligible</v>
      </c>
      <c r="K2" s="7" t="str">
        <f>IF(OR(D2&gt;50,E2&gt;75),"Eligible","Not eligible")</f>
        <v>Eligible</v>
      </c>
      <c r="L2" s="7" t="str">
        <f>IF(_xlfn.XOR(C2&gt;50,D2&gt;75),"Eligible","Not eligible")</f>
        <v>Not eligible</v>
      </c>
      <c r="M2" s="5" t="s">
        <v>35</v>
      </c>
    </row>
    <row r="3" spans="1:13" x14ac:dyDescent="0.35">
      <c r="A3" s="4" t="s">
        <v>9</v>
      </c>
      <c r="B3" s="4" t="s">
        <v>10</v>
      </c>
      <c r="C3" s="2">
        <v>82</v>
      </c>
      <c r="D3" s="2">
        <v>88</v>
      </c>
      <c r="E3" s="4" t="s">
        <v>8</v>
      </c>
      <c r="F3" s="4" t="s">
        <v>8</v>
      </c>
      <c r="G3" t="str">
        <f t="shared" ref="G3:G11" si="0">IF(C3&gt;50,"PASS","FAIL")</f>
        <v>PASS</v>
      </c>
      <c r="H3" t="str">
        <f t="shared" ref="H3:H11" si="1">IF(C3&gt;90,"A+",IF(C3&gt;70,"B+","C+"))</f>
        <v>B+</v>
      </c>
      <c r="I3" t="str" cm="1">
        <f t="array" ref="I3">_xlfn.IFS(C3&gt;90,"A+",C3&gt;70,"B+",C3&gt;50,"C+",C3&lt;40,"F")</f>
        <v>B+</v>
      </c>
      <c r="J3" s="7" t="str">
        <f t="shared" ref="J3:J11" si="2">IF(AND(C3&gt;50,D3&gt;75),"Eligible","Not eligible")</f>
        <v>Eligible</v>
      </c>
      <c r="K3" s="7" t="str">
        <f t="shared" ref="K3:K11" si="3">IF(OR(D3&gt;50,E3&gt;75),"Eligible","Not eligible")</f>
        <v>Eligible</v>
      </c>
      <c r="L3" s="7" t="str">
        <f t="shared" ref="L3:L11" si="4">IF(_xlfn.XOR(C3&gt;50,D3&gt;75),"Eligible","Not eligible")</f>
        <v>Not eligible</v>
      </c>
    </row>
    <row r="4" spans="1:13" x14ac:dyDescent="0.35">
      <c r="A4" s="4" t="s">
        <v>11</v>
      </c>
      <c r="B4" s="4" t="s">
        <v>12</v>
      </c>
      <c r="C4" s="2">
        <v>68</v>
      </c>
      <c r="D4" s="2">
        <v>75</v>
      </c>
      <c r="E4" s="4" t="s">
        <v>8</v>
      </c>
      <c r="F4" s="4" t="s">
        <v>13</v>
      </c>
      <c r="G4" t="str">
        <f t="shared" si="0"/>
        <v>PASS</v>
      </c>
      <c r="H4" t="str">
        <f t="shared" si="1"/>
        <v>C+</v>
      </c>
      <c r="I4" t="str" cm="1">
        <f t="array" ref="I4">_xlfn.IFS(C4&gt;90,"A+",C4&gt;70,"B+",C4&gt;50,"C+",C4&lt;40,"F")</f>
        <v>C+</v>
      </c>
      <c r="J4" s="7" t="str">
        <f t="shared" si="2"/>
        <v>Not eligible</v>
      </c>
      <c r="K4" s="7" t="str">
        <f t="shared" si="3"/>
        <v>Eligible</v>
      </c>
      <c r="L4" s="7" t="str">
        <f t="shared" si="4"/>
        <v>Eligible</v>
      </c>
    </row>
    <row r="5" spans="1:13" x14ac:dyDescent="0.35">
      <c r="A5" s="4" t="s">
        <v>14</v>
      </c>
      <c r="B5" s="4" t="s">
        <v>15</v>
      </c>
      <c r="C5" s="2">
        <v>45</v>
      </c>
      <c r="D5" s="2">
        <v>90</v>
      </c>
      <c r="E5" s="4" t="s">
        <v>13</v>
      </c>
      <c r="F5" s="4" t="s">
        <v>8</v>
      </c>
      <c r="G5" t="str">
        <f t="shared" si="0"/>
        <v>FAIL</v>
      </c>
      <c r="H5" t="str">
        <f t="shared" si="1"/>
        <v>C+</v>
      </c>
      <c r="I5" t="e" cm="1">
        <f t="array" ref="I5">_xlfn.IFS(C5&gt;90,"A+",C5&gt;70,"B+",C5&gt;50,"C+",C5&lt;40,"F")</f>
        <v>#N/A</v>
      </c>
      <c r="J5" s="7" t="str">
        <f t="shared" si="2"/>
        <v>Not eligible</v>
      </c>
      <c r="K5" s="7" t="str">
        <f t="shared" si="3"/>
        <v>Eligible</v>
      </c>
      <c r="L5" s="7" t="str">
        <f t="shared" si="4"/>
        <v>Eligible</v>
      </c>
    </row>
    <row r="6" spans="1:13" x14ac:dyDescent="0.35">
      <c r="A6" s="4" t="s">
        <v>16</v>
      </c>
      <c r="B6" s="4" t="s">
        <v>17</v>
      </c>
      <c r="C6" s="2">
        <v>91</v>
      </c>
      <c r="D6" s="2">
        <v>65</v>
      </c>
      <c r="E6" s="4" t="s">
        <v>8</v>
      </c>
      <c r="F6" s="4" t="s">
        <v>8</v>
      </c>
      <c r="G6" t="str">
        <f t="shared" si="0"/>
        <v>PASS</v>
      </c>
      <c r="H6" t="str">
        <f t="shared" si="1"/>
        <v>A+</v>
      </c>
      <c r="I6" t="str" cm="1">
        <f t="array" ref="I6">_xlfn.IFS(C6&gt;90,"A+",C6&gt;70,"B+",C6&gt;50,"C+",C6&lt;40,"F")</f>
        <v>A+</v>
      </c>
      <c r="J6" s="7" t="str">
        <f t="shared" si="2"/>
        <v>Not eligible</v>
      </c>
      <c r="K6" s="7" t="str">
        <f t="shared" si="3"/>
        <v>Eligible</v>
      </c>
      <c r="L6" s="7" t="str">
        <f t="shared" si="4"/>
        <v>Eligible</v>
      </c>
    </row>
    <row r="7" spans="1:13" x14ac:dyDescent="0.35">
      <c r="A7" s="4" t="s">
        <v>18</v>
      </c>
      <c r="B7" s="4" t="s">
        <v>19</v>
      </c>
      <c r="C7" s="2">
        <v>76</v>
      </c>
      <c r="D7" s="2">
        <v>82</v>
      </c>
      <c r="E7" s="4" t="s">
        <v>8</v>
      </c>
      <c r="F7" s="4" t="s">
        <v>13</v>
      </c>
      <c r="G7" t="str">
        <f t="shared" si="0"/>
        <v>PASS</v>
      </c>
      <c r="H7" t="str">
        <f t="shared" si="1"/>
        <v>B+</v>
      </c>
      <c r="I7" t="str" cm="1">
        <f t="array" ref="I7">_xlfn.IFS(C7&gt;90,"A+",C7&gt;70,"B+",C7&gt;50,"C+",C7&lt;40,"F")</f>
        <v>B+</v>
      </c>
      <c r="J7" s="7" t="str">
        <f t="shared" si="2"/>
        <v>Eligible</v>
      </c>
      <c r="K7" s="7" t="str">
        <f t="shared" si="3"/>
        <v>Eligible</v>
      </c>
      <c r="L7" s="7" t="str">
        <f t="shared" si="4"/>
        <v>Not eligible</v>
      </c>
    </row>
    <row r="8" spans="1:13" x14ac:dyDescent="0.35">
      <c r="A8" s="4" t="s">
        <v>20</v>
      </c>
      <c r="B8" s="4" t="s">
        <v>21</v>
      </c>
      <c r="C8" s="2">
        <v>55</v>
      </c>
      <c r="D8" s="2">
        <v>70</v>
      </c>
      <c r="E8" s="4" t="s">
        <v>13</v>
      </c>
      <c r="F8" s="4" t="s">
        <v>13</v>
      </c>
      <c r="G8" t="str">
        <f t="shared" si="0"/>
        <v>PASS</v>
      </c>
      <c r="H8" t="str">
        <f t="shared" si="1"/>
        <v>C+</v>
      </c>
      <c r="I8" t="str" cm="1">
        <f t="array" ref="I8">_xlfn.IFS(C8&gt;90,"A+",C8&gt;70,"B+",C8&gt;50,"C+",C8&lt;40,"F")</f>
        <v>C+</v>
      </c>
      <c r="J8" s="7" t="str">
        <f t="shared" si="2"/>
        <v>Not eligible</v>
      </c>
      <c r="K8" s="7" t="str">
        <f t="shared" si="3"/>
        <v>Eligible</v>
      </c>
      <c r="L8" s="7" t="str">
        <f t="shared" si="4"/>
        <v>Eligible</v>
      </c>
    </row>
    <row r="9" spans="1:13" x14ac:dyDescent="0.35">
      <c r="A9" s="4" t="s">
        <v>22</v>
      </c>
      <c r="B9" s="4" t="s">
        <v>23</v>
      </c>
      <c r="C9" s="2">
        <v>38</v>
      </c>
      <c r="D9" s="2">
        <v>45</v>
      </c>
      <c r="E9" s="4" t="s">
        <v>8</v>
      </c>
      <c r="F9" s="4" t="s">
        <v>8</v>
      </c>
      <c r="G9" t="str">
        <f t="shared" si="0"/>
        <v>FAIL</v>
      </c>
      <c r="H9" t="str">
        <f t="shared" si="1"/>
        <v>C+</v>
      </c>
      <c r="I9" t="str" cm="1">
        <f t="array" ref="I9">_xlfn.IFS(C9&gt;90,"A+",C9&gt;70,"B+",C9&gt;50,"C+",C9&lt;40,"F")</f>
        <v>F</v>
      </c>
      <c r="J9" s="7" t="str">
        <f t="shared" si="2"/>
        <v>Not eligible</v>
      </c>
      <c r="K9" s="7" t="str">
        <f t="shared" si="3"/>
        <v>Eligible</v>
      </c>
      <c r="L9" s="7" t="str">
        <f t="shared" si="4"/>
        <v>Not eligible</v>
      </c>
    </row>
    <row r="10" spans="1:13" x14ac:dyDescent="0.35">
      <c r="A10" s="4" t="s">
        <v>24</v>
      </c>
      <c r="B10" s="4" t="s">
        <v>25</v>
      </c>
      <c r="C10" s="2">
        <v>72</v>
      </c>
      <c r="D10" s="2">
        <v>60</v>
      </c>
      <c r="E10" s="4" t="s">
        <v>13</v>
      </c>
      <c r="F10" s="4" t="s">
        <v>8</v>
      </c>
      <c r="G10" t="str">
        <f t="shared" si="0"/>
        <v>PASS</v>
      </c>
      <c r="H10" t="str">
        <f t="shared" si="1"/>
        <v>B+</v>
      </c>
      <c r="I10" t="str" cm="1">
        <f t="array" ref="I10">_xlfn.IFS(C10&gt;90,"A+",C10&gt;70,"B+",C10&gt;50,"C+",C10&lt;40,"F")</f>
        <v>B+</v>
      </c>
      <c r="J10" s="7" t="str">
        <f t="shared" si="2"/>
        <v>Not eligible</v>
      </c>
      <c r="K10" s="7" t="str">
        <f t="shared" si="3"/>
        <v>Eligible</v>
      </c>
      <c r="L10" s="7" t="str">
        <f t="shared" si="4"/>
        <v>Eligible</v>
      </c>
    </row>
    <row r="11" spans="1:13" x14ac:dyDescent="0.35">
      <c r="A11" s="4" t="s">
        <v>26</v>
      </c>
      <c r="B11" s="4" t="s">
        <v>27</v>
      </c>
      <c r="C11" s="2">
        <v>89</v>
      </c>
      <c r="D11" s="2">
        <v>95</v>
      </c>
      <c r="E11" s="4" t="s">
        <v>8</v>
      </c>
      <c r="F11" s="4" t="s">
        <v>8</v>
      </c>
      <c r="G11" t="str">
        <f t="shared" si="0"/>
        <v>PASS</v>
      </c>
      <c r="H11" t="str">
        <f t="shared" si="1"/>
        <v>B+</v>
      </c>
      <c r="I11" t="str" cm="1">
        <f t="array" ref="I11">_xlfn.IFS(C11&gt;90,"A+",C11&gt;70,"B+",C11&gt;50,"C+",C11&lt;40,"F")</f>
        <v>B+</v>
      </c>
      <c r="J11" s="7" t="str">
        <f t="shared" si="2"/>
        <v>Eligible</v>
      </c>
      <c r="K11" s="7" t="str">
        <f t="shared" si="3"/>
        <v>Eligible</v>
      </c>
      <c r="L11" s="7" t="str">
        <f t="shared" si="4"/>
        <v>Not eligible</v>
      </c>
    </row>
    <row r="15" spans="1:13" x14ac:dyDescent="0.35">
      <c r="B15" t="s">
        <v>32</v>
      </c>
    </row>
    <row r="16" spans="1:13" x14ac:dyDescent="0.35">
      <c r="B16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2026-08-17T17:40:43Z</dcterms:created>
  <dcterms:modified xsi:type="dcterms:W3CDTF">2026-08-18T05:20:52Z</dcterms:modified>
</cp:coreProperties>
</file>