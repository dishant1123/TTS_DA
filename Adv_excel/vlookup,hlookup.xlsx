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44234ee9b2914/Desktop/tops/TTS_DA/Adv_excel/"/>
    </mc:Choice>
  </mc:AlternateContent>
  <xr:revisionPtr revIDLastSave="0" documentId="8_{1A3E7DB7-BFB0-46ED-8ADA-89649A92BC48}" xr6:coauthVersionLast="47" xr6:coauthVersionMax="47" xr10:uidLastSave="{00000000-0000-0000-0000-000000000000}"/>
  <bookViews>
    <workbookView xWindow="-110" yWindow="-110" windowWidth="19420" windowHeight="10300" activeTab="2" xr2:uid="{EDD3AF10-0CE2-4F94-BDF6-2F68A65859D2}"/>
  </bookViews>
  <sheets>
    <sheet name="product_master" sheetId="1" r:id="rId1"/>
    <sheet name="customer" sheetId="2" r:id="rId2"/>
    <sheet name="h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G3" i="2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K7" i="1"/>
</calcChain>
</file>

<file path=xl/sharedStrings.xml><?xml version="1.0" encoding="utf-8"?>
<sst xmlns="http://schemas.openxmlformats.org/spreadsheetml/2006/main" count="70" uniqueCount="43">
  <si>
    <t>Product ID</t>
  </si>
  <si>
    <t>Product Name</t>
  </si>
  <si>
    <t>Category</t>
  </si>
  <si>
    <t>Price</t>
  </si>
  <si>
    <t>Stock</t>
  </si>
  <si>
    <t>P101</t>
  </si>
  <si>
    <t>Laptop</t>
  </si>
  <si>
    <t>Electronics</t>
  </si>
  <si>
    <t>P102</t>
  </si>
  <si>
    <t>Mouse</t>
  </si>
  <si>
    <t>P103</t>
  </si>
  <si>
    <t>Keyboard</t>
  </si>
  <si>
    <t>P104</t>
  </si>
  <si>
    <t>Monitor</t>
  </si>
  <si>
    <t>P105</t>
  </si>
  <si>
    <t>Headphones</t>
  </si>
  <si>
    <t>P106</t>
  </si>
  <si>
    <t>Printer</t>
  </si>
  <si>
    <t>P107</t>
  </si>
  <si>
    <t>Webcam</t>
  </si>
  <si>
    <t>P108</t>
  </si>
  <si>
    <t>USB Drive</t>
  </si>
  <si>
    <t>Accessories</t>
  </si>
  <si>
    <t>Order ID</t>
  </si>
  <si>
    <t>Customer</t>
  </si>
  <si>
    <t>Quantity</t>
  </si>
  <si>
    <t>Total Amount</t>
  </si>
  <si>
    <t>O001</t>
  </si>
  <si>
    <t>Rahul</t>
  </si>
  <si>
    <t>O002</t>
  </si>
  <si>
    <t>Priya</t>
  </si>
  <si>
    <t>O003</t>
  </si>
  <si>
    <t>Amit</t>
  </si>
  <si>
    <t>O004</t>
  </si>
  <si>
    <t>Neha</t>
  </si>
  <si>
    <t>O005</t>
  </si>
  <si>
    <t>Riya</t>
  </si>
  <si>
    <t>name</t>
  </si>
  <si>
    <t>v lookup ----&gt; vertical lookup  -----&gt; left to right</t>
  </si>
  <si>
    <t xml:space="preserve">H lookup ----&gt; horizontal lookup </t>
  </si>
  <si>
    <t>product_id</t>
  </si>
  <si>
    <t>p110</t>
  </si>
  <si>
    <t>p103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</si>
</sst>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7E3B-CCFD-47AF-BF90-5BBD04B27E87}">
  <dimension ref="A1:K9"/>
  <sheetViews>
    <sheetView workbookViewId="0">
      <selection activeCell="A10" sqref="A10"/>
    </sheetView>
  </sheetViews>
  <sheetFormatPr defaultRowHeight="14.5" x14ac:dyDescent="0.35"/>
  <cols>
    <col min="1" max="1" width="14.453125" customWidth="1"/>
    <col min="2" max="2" width="12.7265625" customWidth="1"/>
    <col min="3" max="3" width="15.36328125" customWidth="1"/>
    <col min="4" max="4" width="14.08984375" customWidth="1"/>
    <col min="5" max="5" width="12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11" ht="29" x14ac:dyDescent="0.35">
      <c r="A2" s="4" t="s">
        <v>5</v>
      </c>
      <c r="B2" s="4" t="s">
        <v>6</v>
      </c>
      <c r="C2" s="4" t="s">
        <v>7</v>
      </c>
      <c r="D2" s="2">
        <v>55000</v>
      </c>
      <c r="E2" s="2">
        <v>15</v>
      </c>
    </row>
    <row r="3" spans="1:11" ht="29" x14ac:dyDescent="0.35">
      <c r="A3" s="4" t="s">
        <v>8</v>
      </c>
      <c r="B3" s="4" t="s">
        <v>9</v>
      </c>
      <c r="C3" s="4" t="s">
        <v>7</v>
      </c>
      <c r="D3" s="2">
        <v>800</v>
      </c>
      <c r="E3" s="2">
        <v>50</v>
      </c>
      <c r="J3" t="s">
        <v>38</v>
      </c>
    </row>
    <row r="4" spans="1:11" x14ac:dyDescent="0.35">
      <c r="A4" s="4" t="s">
        <v>10</v>
      </c>
      <c r="B4" s="4" t="s">
        <v>11</v>
      </c>
      <c r="C4" s="4" t="s">
        <v>7</v>
      </c>
      <c r="D4" s="2">
        <v>1500</v>
      </c>
      <c r="E4" s="2">
        <v>35</v>
      </c>
      <c r="I4" s="4"/>
    </row>
    <row r="5" spans="1:11" ht="29" x14ac:dyDescent="0.35">
      <c r="A5" s="4" t="s">
        <v>12</v>
      </c>
      <c r="B5" s="4" t="s">
        <v>13</v>
      </c>
      <c r="C5" s="4" t="s">
        <v>7</v>
      </c>
      <c r="D5" s="2">
        <v>12000</v>
      </c>
      <c r="E5" s="2">
        <v>20</v>
      </c>
      <c r="J5" t="s">
        <v>39</v>
      </c>
    </row>
    <row r="6" spans="1:11" ht="29" x14ac:dyDescent="0.35">
      <c r="A6" s="4" t="s">
        <v>14</v>
      </c>
      <c r="B6" s="4" t="s">
        <v>15</v>
      </c>
      <c r="C6" s="4" t="s">
        <v>7</v>
      </c>
      <c r="D6" s="2">
        <v>2500</v>
      </c>
      <c r="E6" s="2">
        <v>40</v>
      </c>
      <c r="J6" t="s">
        <v>40</v>
      </c>
      <c r="K6" t="s">
        <v>37</v>
      </c>
    </row>
    <row r="7" spans="1:11" ht="29" x14ac:dyDescent="0.35">
      <c r="A7" s="4" t="s">
        <v>16</v>
      </c>
      <c r="B7" s="4" t="s">
        <v>17</v>
      </c>
      <c r="C7" s="4" t="s">
        <v>7</v>
      </c>
      <c r="D7" s="2">
        <v>8500</v>
      </c>
      <c r="E7" s="2">
        <v>10</v>
      </c>
      <c r="J7" t="s">
        <v>41</v>
      </c>
      <c r="K7" t="e">
        <f>VLOOKUP(J7,A:E,2,0)</f>
        <v>#N/A</v>
      </c>
    </row>
    <row r="8" spans="1:11" ht="29" x14ac:dyDescent="0.35">
      <c r="A8" s="4" t="s">
        <v>18</v>
      </c>
      <c r="B8" s="4" t="s">
        <v>19</v>
      </c>
      <c r="C8" s="4" t="s">
        <v>7</v>
      </c>
      <c r="D8" s="2">
        <v>3000</v>
      </c>
      <c r="E8" s="2">
        <v>25</v>
      </c>
    </row>
    <row r="9" spans="1:11" ht="29" x14ac:dyDescent="0.35">
      <c r="A9" s="4" t="s">
        <v>20</v>
      </c>
      <c r="B9" s="4" t="s">
        <v>21</v>
      </c>
      <c r="C9" s="4" t="s">
        <v>22</v>
      </c>
      <c r="D9" s="2">
        <v>700</v>
      </c>
      <c r="E9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EDD3-B6CD-46B4-A0B1-469A49F7D1AB}">
  <dimension ref="A1:G6"/>
  <sheetViews>
    <sheetView workbookViewId="0">
      <selection activeCell="H6" sqref="H6"/>
    </sheetView>
  </sheetViews>
  <sheetFormatPr defaultRowHeight="14.5" x14ac:dyDescent="0.35"/>
  <cols>
    <col min="2" max="2" width="13.453125" customWidth="1"/>
    <col min="3" max="3" width="13.36328125" customWidth="1"/>
    <col min="5" max="5" width="16.7265625" customWidth="1"/>
  </cols>
  <sheetData>
    <row r="1" spans="1:7" ht="29" x14ac:dyDescent="0.35">
      <c r="A1" s="1" t="s">
        <v>23</v>
      </c>
      <c r="B1" s="1" t="s">
        <v>24</v>
      </c>
      <c r="C1" s="1" t="s">
        <v>0</v>
      </c>
      <c r="D1" s="3" t="s">
        <v>25</v>
      </c>
      <c r="E1" s="1" t="s">
        <v>1</v>
      </c>
      <c r="F1" s="3" t="s">
        <v>3</v>
      </c>
      <c r="G1" s="3" t="s">
        <v>26</v>
      </c>
    </row>
    <row r="2" spans="1:7" x14ac:dyDescent="0.35">
      <c r="A2" s="4" t="s">
        <v>27</v>
      </c>
      <c r="B2" s="4" t="s">
        <v>28</v>
      </c>
      <c r="C2" s="4" t="s">
        <v>10</v>
      </c>
      <c r="D2" s="2">
        <v>2</v>
      </c>
      <c r="E2" s="4" t="str">
        <f>VLOOKUP(C2,product_master!A:E,2,0)</f>
        <v>Keyboard</v>
      </c>
      <c r="F2" s="2">
        <f>VLOOKUP(C2,product_master!A:E,4,0)</f>
        <v>1500</v>
      </c>
      <c r="G2" s="2">
        <f>D2*F2</f>
        <v>3000</v>
      </c>
    </row>
    <row r="3" spans="1:7" x14ac:dyDescent="0.35">
      <c r="A3" s="4" t="s">
        <v>29</v>
      </c>
      <c r="B3" s="4" t="s">
        <v>30</v>
      </c>
      <c r="C3" s="4" t="s">
        <v>5</v>
      </c>
      <c r="D3" s="2">
        <v>1</v>
      </c>
      <c r="E3" s="4" t="str">
        <f>VLOOKUP(C3,product_master!A:E,2,0)</f>
        <v>Laptop</v>
      </c>
      <c r="F3" s="2">
        <f>VLOOKUP(C3,product_master!A:E,4,0)</f>
        <v>55000</v>
      </c>
      <c r="G3" s="2">
        <f t="shared" ref="G3:G6" si="0">D3*F3</f>
        <v>55000</v>
      </c>
    </row>
    <row r="4" spans="1:7" x14ac:dyDescent="0.35">
      <c r="A4" s="4" t="s">
        <v>31</v>
      </c>
      <c r="B4" s="4" t="s">
        <v>32</v>
      </c>
      <c r="C4" s="4" t="s">
        <v>14</v>
      </c>
      <c r="D4" s="2">
        <v>3</v>
      </c>
      <c r="E4" s="4" t="str">
        <f>VLOOKUP(C4,product_master!A:E,2,0)</f>
        <v>Headphones</v>
      </c>
      <c r="F4" s="2">
        <f>VLOOKUP(C4,product_master!A:E,4,0)</f>
        <v>2500</v>
      </c>
      <c r="G4" s="2">
        <f t="shared" si="0"/>
        <v>7500</v>
      </c>
    </row>
    <row r="5" spans="1:7" x14ac:dyDescent="0.35">
      <c r="A5" s="4" t="s">
        <v>33</v>
      </c>
      <c r="B5" s="4" t="s">
        <v>34</v>
      </c>
      <c r="C5" s="4" t="s">
        <v>8</v>
      </c>
      <c r="D5" s="2">
        <v>5</v>
      </c>
      <c r="E5" s="4" t="str">
        <f>VLOOKUP(C5,product_master!A:E,2,0)</f>
        <v>Mouse</v>
      </c>
      <c r="F5" s="2">
        <f>VLOOKUP(C5,product_master!A:E,4,0)</f>
        <v>800</v>
      </c>
      <c r="G5" s="2">
        <f t="shared" si="0"/>
        <v>4000</v>
      </c>
    </row>
    <row r="6" spans="1:7" x14ac:dyDescent="0.35">
      <c r="A6" s="4" t="s">
        <v>35</v>
      </c>
      <c r="B6" s="4" t="s">
        <v>36</v>
      </c>
      <c r="C6" s="4" t="s">
        <v>18</v>
      </c>
      <c r="D6" s="2">
        <v>2</v>
      </c>
      <c r="E6" s="4" t="str">
        <f>VLOOKUP(C6,product_master!A:E,2,0)</f>
        <v>Webcam</v>
      </c>
      <c r="F6" s="2">
        <f>VLOOKUP(C6,product_master!A:E,4,0)</f>
        <v>3000</v>
      </c>
      <c r="G6" s="2">
        <f t="shared" si="0"/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7A43-98AC-4CC7-90FA-2D809BF9ADAC}">
  <dimension ref="A1:H5"/>
  <sheetViews>
    <sheetView tabSelected="1" workbookViewId="0">
      <selection activeCell="G6" sqref="G6"/>
    </sheetView>
  </sheetViews>
  <sheetFormatPr defaultRowHeight="14.5" x14ac:dyDescent="0.35"/>
  <cols>
    <col min="6" max="6" width="16.453125" customWidth="1"/>
  </cols>
  <sheetData>
    <row r="1" spans="1:8" x14ac:dyDescent="0.35">
      <c r="A1" s="1"/>
      <c r="B1" s="1" t="s">
        <v>5</v>
      </c>
      <c r="C1" s="1" t="s">
        <v>8</v>
      </c>
      <c r="D1" s="1" t="s">
        <v>10</v>
      </c>
      <c r="E1" s="1" t="s">
        <v>12</v>
      </c>
      <c r="F1" s="1" t="s">
        <v>14</v>
      </c>
    </row>
    <row r="2" spans="1:8" ht="29" x14ac:dyDescent="0.35">
      <c r="A2" s="4" t="s">
        <v>1</v>
      </c>
      <c r="B2" s="4" t="s">
        <v>6</v>
      </c>
      <c r="C2" s="4" t="s">
        <v>9</v>
      </c>
      <c r="D2" s="4" t="s">
        <v>11</v>
      </c>
      <c r="E2" s="4" t="s">
        <v>13</v>
      </c>
      <c r="F2" s="4" t="s">
        <v>15</v>
      </c>
    </row>
    <row r="3" spans="1:8" x14ac:dyDescent="0.35">
      <c r="A3" s="4" t="s">
        <v>3</v>
      </c>
      <c r="B3" s="4">
        <v>55000</v>
      </c>
      <c r="C3" s="4">
        <v>800</v>
      </c>
      <c r="D3" s="4">
        <v>1500</v>
      </c>
      <c r="E3" s="4">
        <v>12000</v>
      </c>
      <c r="F3" s="4">
        <v>2500</v>
      </c>
    </row>
    <row r="4" spans="1:8" x14ac:dyDescent="0.35">
      <c r="A4" s="4" t="s">
        <v>4</v>
      </c>
      <c r="B4" s="4">
        <v>15</v>
      </c>
      <c r="C4" s="4">
        <v>50</v>
      </c>
      <c r="D4" s="4">
        <v>35</v>
      </c>
      <c r="E4" s="4">
        <v>20</v>
      </c>
      <c r="F4" s="4">
        <v>40</v>
      </c>
    </row>
    <row r="5" spans="1:8" x14ac:dyDescent="0.35">
      <c r="G5" t="s">
        <v>42</v>
      </c>
      <c r="H5" t="str">
        <f>HLOOKUP(G5,B:F,2,1)</f>
        <v>Keyboard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customer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Dishant Shah</dc:creator>
  <cp:lastModifiedBy>Dishant Shah</cp:lastModifiedBy>
  <dcterms:created xsi:type="dcterms:W3CDTF">2026-08-19T18:20:22Z</dcterms:created>
  <dcterms:modified xsi:type="dcterms:W3CDTF">2026-08-20T05:32:37Z</dcterms:modified>
</cp:coreProperties>
</file>