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0FA44234EE9B2914/Desktop/tops/TTS_DA/Adv_excel/"/>
    </mc:Choice>
  </mc:AlternateContent>
  <xr:revisionPtr revIDLastSave="2" documentId="8_{9C666655-80E7-46C8-A980-F219F27D4FDF}" xr6:coauthVersionLast="47" xr6:coauthVersionMax="47" xr10:uidLastSave="{1BEE632D-5041-4FDA-BA85-B27AAD3C5D4F}"/>
  <bookViews>
    <workbookView minimized="1" xWindow="2800" yWindow="2800" windowWidth="7500" windowHeight="6000" firstSheet="3" activeTab="8" xr2:uid="{7E5669FC-4505-4B32-9B2D-82EAEC5DACF9}"/>
  </bookViews>
  <sheets>
    <sheet name="Sheet3" sheetId="3" r:id="rId1"/>
    <sheet name="Sheet4" sheetId="4" r:id="rId2"/>
    <sheet name="sales_data" sheetId="1" r:id="rId3"/>
    <sheet name="Sheet5" sheetId="5" r:id="rId4"/>
    <sheet name="Sheet7" sheetId="7" r:id="rId5"/>
    <sheet name="Sheet8" sheetId="9" r:id="rId6"/>
    <sheet name="graphs" sheetId="11" r:id="rId7"/>
    <sheet name="8-sept-26" sheetId="10" r:id="rId8"/>
    <sheet name="Sheet11" sheetId="12" r:id="rId9"/>
    <sheet name="Sheet6" sheetId="6" r:id="rId10"/>
  </sheets>
  <definedNames>
    <definedName name="Slicer_Region">#N/A</definedName>
    <definedName name="Slicer_Region1">#N/A</definedName>
  </definedNames>
  <calcPr calcId="191029"/>
  <pivotCaches>
    <pivotCache cacheId="23" r:id="rId11"/>
    <pivotCache cacheId="47"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1" i="5" l="1"/>
  <c r="H10" i="5"/>
  <c r="H9" i="5"/>
  <c r="B10" i="5"/>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2"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 i="1"/>
  <c r="J2" i="1"/>
</calcChain>
</file>

<file path=xl/sharedStrings.xml><?xml version="1.0" encoding="utf-8"?>
<sst xmlns="http://schemas.openxmlformats.org/spreadsheetml/2006/main" count="439" uniqueCount="167">
  <si>
    <t>Order_ID</t>
  </si>
  <si>
    <t>Order_Date</t>
  </si>
  <si>
    <t>Region</t>
  </si>
  <si>
    <t>Salesperson</t>
  </si>
  <si>
    <t>Product</t>
  </si>
  <si>
    <t>Category</t>
  </si>
  <si>
    <t>Quantity</t>
  </si>
  <si>
    <t>Unit_Price</t>
  </si>
  <si>
    <t>Discount</t>
  </si>
  <si>
    <t>ORD001</t>
  </si>
  <si>
    <t>West</t>
  </si>
  <si>
    <t>Amit</t>
  </si>
  <si>
    <t>Laptop</t>
  </si>
  <si>
    <t>Electronics</t>
  </si>
  <si>
    <t>ORD002</t>
  </si>
  <si>
    <t>North</t>
  </si>
  <si>
    <t>Priya</t>
  </si>
  <si>
    <t>Mouse</t>
  </si>
  <si>
    <t>Accessories</t>
  </si>
  <si>
    <t>ORD003</t>
  </si>
  <si>
    <t>South</t>
  </si>
  <si>
    <t>Rahul</t>
  </si>
  <si>
    <t>Keyboard</t>
  </si>
  <si>
    <t>ORD004</t>
  </si>
  <si>
    <t>Neha</t>
  </si>
  <si>
    <t>Monitor</t>
  </si>
  <si>
    <t>ORD005</t>
  </si>
  <si>
    <t>ORD006</t>
  </si>
  <si>
    <t>ORD007</t>
  </si>
  <si>
    <t>East</t>
  </si>
  <si>
    <t>ORD008</t>
  </si>
  <si>
    <t>ORD009</t>
  </si>
  <si>
    <t>ORD010</t>
  </si>
  <si>
    <t>ORD011</t>
  </si>
  <si>
    <t>ORD012</t>
  </si>
  <si>
    <t>ORD013</t>
  </si>
  <si>
    <t>ORD014</t>
  </si>
  <si>
    <t>ORD015</t>
  </si>
  <si>
    <t>ORD016</t>
  </si>
  <si>
    <t>ORD017</t>
  </si>
  <si>
    <t>ORD018</t>
  </si>
  <si>
    <t>ORD019</t>
  </si>
  <si>
    <t>ORD020</t>
  </si>
  <si>
    <t>ORD021</t>
  </si>
  <si>
    <t>ORD022</t>
  </si>
  <si>
    <t>ORD023</t>
  </si>
  <si>
    <t>ORD024</t>
  </si>
  <si>
    <t>ORD025</t>
  </si>
  <si>
    <t>ORD026</t>
  </si>
  <si>
    <t>ORD027</t>
  </si>
  <si>
    <t>ORD028</t>
  </si>
  <si>
    <t>ORD029</t>
  </si>
  <si>
    <t>ORD030</t>
  </si>
  <si>
    <t>ORD031</t>
  </si>
  <si>
    <t>ORD032</t>
  </si>
  <si>
    <t>ORD033</t>
  </si>
  <si>
    <t>ORD034</t>
  </si>
  <si>
    <t>ORD035</t>
  </si>
  <si>
    <t>Row Labels</t>
  </si>
  <si>
    <t>Grand Total</t>
  </si>
  <si>
    <t>Jan</t>
  </si>
  <si>
    <t>Feb</t>
  </si>
  <si>
    <t>Mar</t>
  </si>
  <si>
    <t>Apr</t>
  </si>
  <si>
    <t>May</t>
  </si>
  <si>
    <t>Jun</t>
  </si>
  <si>
    <t>Jul</t>
  </si>
  <si>
    <t>Aug</t>
  </si>
  <si>
    <t>Sep</t>
  </si>
  <si>
    <t>05-Jan</t>
  </si>
  <si>
    <t>12-Jan</t>
  </si>
  <si>
    <t>20-Jan</t>
  </si>
  <si>
    <t>03-Feb</t>
  </si>
  <si>
    <t>15-Feb</t>
  </si>
  <si>
    <t>25-Feb</t>
  </si>
  <si>
    <t>18-Mar</t>
  </si>
  <si>
    <t>08-May</t>
  </si>
  <si>
    <t>19-May</t>
  </si>
  <si>
    <t>30-May</t>
  </si>
  <si>
    <t>net_sales</t>
  </si>
  <si>
    <t>net_sales = (qty * price) * ((1-discount)/100)</t>
  </si>
  <si>
    <t>net_sales= Quantity  * Unit_Price * (1-(Discount)/100))</t>
  </si>
  <si>
    <t>Sum of NET_SALES_</t>
  </si>
  <si>
    <t>monthwisesale</t>
  </si>
  <si>
    <t xml:space="preserve">Id </t>
  </si>
  <si>
    <t xml:space="preserve">age </t>
  </si>
  <si>
    <t>22 ---&gt; 2</t>
  </si>
  <si>
    <t>23----&gt;3</t>
  </si>
  <si>
    <t>25----&gt;1</t>
  </si>
  <si>
    <t>days</t>
  </si>
  <si>
    <t>sales</t>
  </si>
  <si>
    <t>mean</t>
  </si>
  <si>
    <t>median</t>
  </si>
  <si>
    <t>mode</t>
  </si>
  <si>
    <t>Customer_Name</t>
  </si>
  <si>
    <t>Address</t>
  </si>
  <si>
    <t>Units</t>
  </si>
  <si>
    <t>Sales</t>
  </si>
  <si>
    <t>Rahul Shah</t>
  </si>
  <si>
    <t>iPhone 15</t>
  </si>
  <si>
    <t>Mobile</t>
  </si>
  <si>
    <t>Ahmedabad, Gujarat</t>
  </si>
  <si>
    <t>Priya Patel</t>
  </si>
  <si>
    <t>Galaxy S24</t>
  </si>
  <si>
    <t>Mumbai, Maharashtra</t>
  </si>
  <si>
    <t>Amit Kumar</t>
  </si>
  <si>
    <t>Dell Laptop</t>
  </si>
  <si>
    <t>Delhi, India</t>
  </si>
  <si>
    <t>Neha Singh</t>
  </si>
  <si>
    <t>HP Laptop</t>
  </si>
  <si>
    <t>Bangalore, Karnataka</t>
  </si>
  <si>
    <t>AirPods</t>
  </si>
  <si>
    <t>Riya Sharma</t>
  </si>
  <si>
    <t>Ahmedabad,Gujarat</t>
  </si>
  <si>
    <t>Arjun Patel</t>
  </si>
  <si>
    <t>Pune, Maharashtra</t>
  </si>
  <si>
    <t>Lenovo Laptop</t>
  </si>
  <si>
    <t>Sneha Verma</t>
  </si>
  <si>
    <t>Jaipur,Rajasthan</t>
  </si>
  <si>
    <t>Karan Mehta</t>
  </si>
  <si>
    <t>Chennai, Tamil Nadu</t>
  </si>
  <si>
    <t>Samsung Tab</t>
  </si>
  <si>
    <t>Tablet</t>
  </si>
  <si>
    <t>Pooja Patel</t>
  </si>
  <si>
    <t>Surat, Gujarat</t>
  </si>
  <si>
    <t>Ravi Kumar</t>
  </si>
  <si>
    <t>Mumbai,Maharashtra</t>
  </si>
  <si>
    <t>Meena Shah</t>
  </si>
  <si>
    <t>Delhi,India</t>
  </si>
  <si>
    <t>Jay Patel</t>
  </si>
  <si>
    <t>Anjali Shah</t>
  </si>
  <si>
    <t>Dev Shah</t>
  </si>
  <si>
    <t>Nisha Patel</t>
  </si>
  <si>
    <t>Raj Mehta</t>
  </si>
  <si>
    <t>Chennai,Tamil Nadu</t>
  </si>
  <si>
    <t>Ayesha Khan</t>
  </si>
  <si>
    <t>Vadodara, Gujarat</t>
  </si>
  <si>
    <t>Mohit Shah</t>
  </si>
  <si>
    <t>Simran Kaur</t>
  </si>
  <si>
    <t>Chandigarh,Punjab</t>
  </si>
  <si>
    <t>Varun Patel</t>
  </si>
  <si>
    <t>Tina Shah</t>
  </si>
  <si>
    <t>Rohan Mehta</t>
  </si>
  <si>
    <t>Pune,Maharashtra</t>
  </si>
  <si>
    <t>Neel Shah</t>
  </si>
  <si>
    <t>Kavya Patel</t>
  </si>
  <si>
    <t>Bangalore,Karnataka</t>
  </si>
  <si>
    <t>Sum of Sales</t>
  </si>
  <si>
    <r>
      <t xml:space="preserve">product cost is </t>
    </r>
    <r>
      <rPr>
        <b/>
        <sz val="11"/>
        <color theme="1"/>
        <rFont val="Aptos Narrow"/>
        <family val="2"/>
        <scheme val="minor"/>
      </rPr>
      <t>80% of selling price</t>
    </r>
    <r>
      <rPr>
        <sz val="11"/>
        <color theme="1"/>
        <rFont val="Aptos Narrow"/>
        <family val="2"/>
        <scheme val="minor"/>
      </rPr>
      <t>.</t>
    </r>
  </si>
  <si>
    <t>create the calculated  field :</t>
  </si>
  <si>
    <t>total sales</t>
  </si>
  <si>
    <t xml:space="preserve">total profit </t>
  </si>
  <si>
    <t>total cost</t>
  </si>
  <si>
    <t>05-Mar</t>
  </si>
  <si>
    <t>02-Apr</t>
  </si>
  <si>
    <t>14-Apr</t>
  </si>
  <si>
    <t>25-Apr</t>
  </si>
  <si>
    <t>07-Jun</t>
  </si>
  <si>
    <t>18-Jun</t>
  </si>
  <si>
    <t>03-Jul</t>
  </si>
  <si>
    <t>15-Jul</t>
  </si>
  <si>
    <t>28-Jul</t>
  </si>
  <si>
    <t>09-Aug</t>
  </si>
  <si>
    <t>17-Aug</t>
  </si>
  <si>
    <t>29-Aug</t>
  </si>
  <si>
    <t>04-Sep</t>
  </si>
  <si>
    <t>07-Sep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</si>
</sst>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21">
    <xf numFmtId="0" fontId="0" fillId="0" borderId="0" xfId="0"/>
    <xf numFmtId="0" fontId="1" fillId="0" borderId="0" xfId="0" applyFont="1" applyAlignment="1">
      <alignment horizontal="center" vertical="center" wrapText="1"/>
    </xf>
    <xf numFmtId="0" fontId="0" fillId="0" borderId="0" xfId="0" applyAlignment="1">
      <alignment horizontal="right" vertical="center" wrapText="1"/>
    </xf>
    <xf numFmtId="0" fontId="1" fillId="0" borderId="0" xfId="0" applyFont="1" applyAlignment="1">
      <alignment horizontal="right" vertical="center" wrapText="1"/>
    </xf>
    <xf numFmtId="0" fontId="0" fillId="0" borderId="0" xfId="0" applyAlignment="1">
      <alignment vertical="center" wrapText="1"/>
    </xf>
    <xf numFmtId="15" fontId="0" fillId="0" borderId="0" xfId="0" applyNumberFormat="1" applyAlignment="1">
      <alignment vertical="center" wrapText="1"/>
    </xf>
    <xf numFmtId="9" fontId="0" fillId="0" borderId="0" xfId="0" applyNumberFormat="1" applyAlignment="1">
      <alignment horizontal="right" vertical="center" wrapText="1"/>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0" fillId="0" borderId="0" xfId="0" applyNumberFormat="1"/>
    <xf numFmtId="2" fontId="0" fillId="0" borderId="0" xfId="0" applyNumberFormat="1"/>
    <xf numFmtId="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[sales_pivort_26_8-sept.xlsx]Sheet3!PivotTable2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Sheet3!$A$4:$A$7</c:f>
              <c:strCache>
                <c:ptCount val="3"/>
                <c:pt idx="0">
                  <c:v>Keyboard</c:v>
                </c:pt>
                <c:pt idx="1">
                  <c:v>Laptop</c:v>
                </c:pt>
                <c:pt idx="2">
                  <c:v>Monitor</c:v>
                </c:pt>
              </c:strCache>
            </c:strRef>
          </c:cat>
          <c:val>
            <c:numRef>
              <c:f>Sheet3!$B$4:$B$7</c:f>
              <c:numCache>
                <c:formatCode>0</c:formatCode>
                <c:ptCount val="3"/>
                <c:pt idx="0">
                  <c:v>95808</c:v>
                </c:pt>
                <c:pt idx="1">
                  <c:v>987525</c:v>
                </c:pt>
                <c:pt idx="2">
                  <c:v>1581624</c:v>
                </c:pt>
              </c:numCache>
            </c:numRef>
          </c:val>
          <c:extLst>
            <c:ext xmlns:c16="http://schemas.microsoft.com/office/drawing/2014/chart" uri="{C3380CC4-5D6E-409C-BE32-E72D297353CC}">
              <c16:uniqueId val="{00000000-F9EF-44A6-B786-1872B30A752E}"/>
            </c:ext>
          </c:extLst>
        </c:ser>
        <c:dLbls>
          <c:showLegendKey val="0"/>
          <c:showVal val="0"/>
          <c:showCatName val="0"/>
          <c:showSerName val="0"/>
          <c:showPercent val="0"/>
          <c:showBubbleSize val="0"/>
        </c:dLbls>
        <c:gapWidth val="219"/>
        <c:overlap val="-27"/>
        <c:axId val="304160"/>
        <c:axId val="10770704"/>
      </c:barChart>
      <c:catAx>
        <c:axId val="304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70704"/>
        <c:crosses val="autoZero"/>
        <c:auto val="1"/>
        <c:lblAlgn val="ctr"/>
        <c:lblOffset val="100"/>
        <c:noMultiLvlLbl val="0"/>
      </c:catAx>
      <c:valAx>
        <c:axId val="1077070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graphs!$A$1:$A$9</c:f>
              <c:strCache>
                <c:ptCount val="9"/>
                <c:pt idx="0">
                  <c:v>Jan</c:v>
                </c:pt>
                <c:pt idx="1">
                  <c:v>Feb</c:v>
                </c:pt>
                <c:pt idx="2">
                  <c:v>Mar</c:v>
                </c:pt>
                <c:pt idx="3">
                  <c:v>Apr</c:v>
                </c:pt>
                <c:pt idx="4">
                  <c:v>May</c:v>
                </c:pt>
                <c:pt idx="5">
                  <c:v>Jun</c:v>
                </c:pt>
                <c:pt idx="6">
                  <c:v>Jul</c:v>
                </c:pt>
                <c:pt idx="7">
                  <c:v>Aug</c:v>
                </c:pt>
                <c:pt idx="8">
                  <c:v>Sep</c:v>
                </c:pt>
              </c:strCache>
            </c:strRef>
          </c:cat>
          <c:val>
            <c:numRef>
              <c:f>graphs!$B$1:$B$9</c:f>
              <c:numCache>
                <c:formatCode>General</c:formatCode>
                <c:ptCount val="9"/>
                <c:pt idx="0">
                  <c:v>448000</c:v>
                </c:pt>
                <c:pt idx="1">
                  <c:v>288000</c:v>
                </c:pt>
                <c:pt idx="2">
                  <c:v>302000</c:v>
                </c:pt>
                <c:pt idx="3">
                  <c:v>366000</c:v>
                </c:pt>
                <c:pt idx="4">
                  <c:v>374000</c:v>
                </c:pt>
                <c:pt idx="5">
                  <c:v>288000</c:v>
                </c:pt>
                <c:pt idx="6">
                  <c:v>563000</c:v>
                </c:pt>
                <c:pt idx="7">
                  <c:v>352000</c:v>
                </c:pt>
                <c:pt idx="8">
                  <c:v>298000</c:v>
                </c:pt>
              </c:numCache>
            </c:numRef>
          </c:val>
          <c:extLst>
            <c:ext xmlns:c16="http://schemas.microsoft.com/office/drawing/2014/chart" uri="{C3380CC4-5D6E-409C-BE32-E72D297353CC}">
              <c16:uniqueId val="{00000000-BE64-4F07-8098-241CE4E33395}"/>
            </c:ext>
          </c:extLst>
        </c:ser>
        <c:dLbls>
          <c:showLegendKey val="0"/>
          <c:showVal val="0"/>
          <c:showCatName val="0"/>
          <c:showSerName val="0"/>
          <c:showPercent val="0"/>
          <c:showBubbleSize val="0"/>
        </c:dLbls>
        <c:gapWidth val="219"/>
        <c:overlap val="-27"/>
        <c:axId val="435780336"/>
        <c:axId val="448659664"/>
      </c:barChart>
      <c:catAx>
        <c:axId val="435780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659664"/>
        <c:crosses val="autoZero"/>
        <c:auto val="1"/>
        <c:lblAlgn val="ctr"/>
        <c:lblOffset val="100"/>
        <c:noMultiLvlLbl val="0"/>
      </c:catAx>
      <c:valAx>
        <c:axId val="448659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57803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strRef>
              <c:f>graphs!$M$2:$M$25</c:f>
              <c:strCache>
                <c:ptCount val="24"/>
                <c:pt idx="0">
                  <c:v>05-Jan</c:v>
                </c:pt>
                <c:pt idx="1">
                  <c:v>12-Jan</c:v>
                </c:pt>
                <c:pt idx="2">
                  <c:v>20-Jan</c:v>
                </c:pt>
                <c:pt idx="3">
                  <c:v>03-Feb</c:v>
                </c:pt>
                <c:pt idx="4">
                  <c:v>15-Feb</c:v>
                </c:pt>
                <c:pt idx="5">
                  <c:v>25-Feb</c:v>
                </c:pt>
                <c:pt idx="6">
                  <c:v>05-Mar</c:v>
                </c:pt>
                <c:pt idx="7">
                  <c:v>18-Mar</c:v>
                </c:pt>
                <c:pt idx="8">
                  <c:v>02-Apr</c:v>
                </c:pt>
                <c:pt idx="9">
                  <c:v>14-Apr</c:v>
                </c:pt>
                <c:pt idx="10">
                  <c:v>25-Apr</c:v>
                </c:pt>
                <c:pt idx="11">
                  <c:v>08-May</c:v>
                </c:pt>
                <c:pt idx="12">
                  <c:v>19-May</c:v>
                </c:pt>
                <c:pt idx="13">
                  <c:v>30-May</c:v>
                </c:pt>
                <c:pt idx="14">
                  <c:v>07-Jun</c:v>
                </c:pt>
                <c:pt idx="15">
                  <c:v>18-Jun</c:v>
                </c:pt>
                <c:pt idx="16">
                  <c:v>03-Jul</c:v>
                </c:pt>
                <c:pt idx="17">
                  <c:v>15-Jul</c:v>
                </c:pt>
                <c:pt idx="18">
                  <c:v>28-Jul</c:v>
                </c:pt>
                <c:pt idx="19">
                  <c:v>09-Aug</c:v>
                </c:pt>
                <c:pt idx="20">
                  <c:v>17-Aug</c:v>
                </c:pt>
                <c:pt idx="21">
                  <c:v>29-Aug</c:v>
                </c:pt>
                <c:pt idx="22">
                  <c:v>04-Sep</c:v>
                </c:pt>
                <c:pt idx="23">
                  <c:v>07-Sep</c:v>
                </c:pt>
              </c:strCache>
            </c:strRef>
          </c:cat>
          <c:val>
            <c:numRef>
              <c:f>graphs!$N$2:$N$25</c:f>
              <c:numCache>
                <c:formatCode>General</c:formatCode>
                <c:ptCount val="24"/>
                <c:pt idx="0">
                  <c:v>130000</c:v>
                </c:pt>
                <c:pt idx="1">
                  <c:v>174000</c:v>
                </c:pt>
                <c:pt idx="2">
                  <c:v>144000</c:v>
                </c:pt>
                <c:pt idx="3">
                  <c:v>68000</c:v>
                </c:pt>
                <c:pt idx="4">
                  <c:v>90000</c:v>
                </c:pt>
                <c:pt idx="5">
                  <c:v>130000</c:v>
                </c:pt>
                <c:pt idx="6">
                  <c:v>186000</c:v>
                </c:pt>
                <c:pt idx="7">
                  <c:v>116000</c:v>
                </c:pt>
                <c:pt idx="8">
                  <c:v>128000</c:v>
                </c:pt>
                <c:pt idx="9">
                  <c:v>108000</c:v>
                </c:pt>
                <c:pt idx="10">
                  <c:v>130000</c:v>
                </c:pt>
                <c:pt idx="11">
                  <c:v>136000</c:v>
                </c:pt>
                <c:pt idx="12">
                  <c:v>174000</c:v>
                </c:pt>
                <c:pt idx="13">
                  <c:v>64000</c:v>
                </c:pt>
                <c:pt idx="14">
                  <c:v>216000</c:v>
                </c:pt>
                <c:pt idx="15">
                  <c:v>72000</c:v>
                </c:pt>
                <c:pt idx="16">
                  <c:v>195000</c:v>
                </c:pt>
                <c:pt idx="17">
                  <c:v>136000</c:v>
                </c:pt>
                <c:pt idx="18">
                  <c:v>232000</c:v>
                </c:pt>
                <c:pt idx="19">
                  <c:v>96000</c:v>
                </c:pt>
                <c:pt idx="20">
                  <c:v>126000</c:v>
                </c:pt>
                <c:pt idx="21">
                  <c:v>130000</c:v>
                </c:pt>
                <c:pt idx="22">
                  <c:v>124000</c:v>
                </c:pt>
                <c:pt idx="23">
                  <c:v>174000</c:v>
                </c:pt>
              </c:numCache>
            </c:numRef>
          </c:val>
          <c:smooth val="0"/>
          <c:extLst>
            <c:ext xmlns:c16="http://schemas.microsoft.com/office/drawing/2014/chart" uri="{C3380CC4-5D6E-409C-BE32-E72D297353CC}">
              <c16:uniqueId val="{00000000-F1F6-4975-B219-EF410DD078A5}"/>
            </c:ext>
          </c:extLst>
        </c:ser>
        <c:dLbls>
          <c:showLegendKey val="0"/>
          <c:showVal val="0"/>
          <c:showCatName val="0"/>
          <c:showSerName val="0"/>
          <c:showPercent val="0"/>
          <c:showBubbleSize val="0"/>
        </c:dLbls>
        <c:smooth val="0"/>
        <c:axId val="448690208"/>
        <c:axId val="1758672"/>
      </c:lineChart>
      <c:catAx>
        <c:axId val="448690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8672"/>
        <c:crosses val="autoZero"/>
        <c:auto val="1"/>
        <c:lblAlgn val="ctr"/>
        <c:lblOffset val="100"/>
        <c:noMultiLvlLbl val="0"/>
      </c:catAx>
      <c:valAx>
        <c:axId val="1758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6902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501650</xdr:colOff>
      <xdr:row>0</xdr:row>
      <xdr:rowOff>120650</xdr:rowOff>
    </xdr:from>
    <xdr:to>
      <xdr:col>8</xdr:col>
      <xdr:colOff>196850</xdr:colOff>
      <xdr:row>15</xdr:row>
      <xdr:rowOff>101600</xdr:rowOff>
    </xdr:to>
    <xdr:graphicFrame macro="">
      <xdr:nvGraphicFramePr>
        <xdr:cNvPr id="2" name="Chart 1">
          <a:extLst>
            <a:ext uri="{FF2B5EF4-FFF2-40B4-BE49-F238E27FC236}">
              <a16:creationId xmlns:a16="http://schemas.microsoft.com/office/drawing/2014/main" id="{B8045AE4-AC05-436D-A570-A5EADF5462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0</xdr:colOff>
      <xdr:row>4</xdr:row>
      <xdr:rowOff>0</xdr:rowOff>
    </xdr:from>
    <xdr:to>
      <xdr:col>13</xdr:col>
      <xdr:colOff>0</xdr:colOff>
      <xdr:row>12</xdr:row>
      <xdr:rowOff>133350</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0087FA5C-834B-4D20-8164-BB43DC9ED25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096000" y="736600"/>
              <a:ext cx="1828800" cy="1606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460375</xdr:colOff>
      <xdr:row>0</xdr:row>
      <xdr:rowOff>31750</xdr:rowOff>
    </xdr:from>
    <xdr:to>
      <xdr:col>10</xdr:col>
      <xdr:colOff>155575</xdr:colOff>
      <xdr:row>15</xdr:row>
      <xdr:rowOff>12700</xdr:rowOff>
    </xdr:to>
    <xdr:graphicFrame macro="">
      <xdr:nvGraphicFramePr>
        <xdr:cNvPr id="2" name="Chart 1">
          <a:extLst>
            <a:ext uri="{FF2B5EF4-FFF2-40B4-BE49-F238E27FC236}">
              <a16:creationId xmlns:a16="http://schemas.microsoft.com/office/drawing/2014/main" id="{433E2B2F-3DA0-095E-B8B3-079E195174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225425</xdr:colOff>
      <xdr:row>1</xdr:row>
      <xdr:rowOff>57150</xdr:rowOff>
    </xdr:from>
    <xdr:to>
      <xdr:col>21</xdr:col>
      <xdr:colOff>530225</xdr:colOff>
      <xdr:row>16</xdr:row>
      <xdr:rowOff>38100</xdr:rowOff>
    </xdr:to>
    <xdr:graphicFrame macro="">
      <xdr:nvGraphicFramePr>
        <xdr:cNvPr id="3" name="Chart 2">
          <a:extLst>
            <a:ext uri="{FF2B5EF4-FFF2-40B4-BE49-F238E27FC236}">
              <a16:creationId xmlns:a16="http://schemas.microsoft.com/office/drawing/2014/main" id="{9A340971-0D28-ACD0-8D4C-D5845FFC2E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10411</xdr:colOff>
      <xdr:row>17</xdr:row>
      <xdr:rowOff>10409</xdr:rowOff>
    </xdr:from>
    <xdr:to>
      <xdr:col>10</xdr:col>
      <xdr:colOff>10411</xdr:colOff>
      <xdr:row>25</xdr:row>
      <xdr:rowOff>92960</xdr:rowOff>
    </xdr:to>
    <mc:AlternateContent xmlns:mc="http://schemas.openxmlformats.org/markup-compatibility/2006">
      <mc:Choice xmlns:a14="http://schemas.microsoft.com/office/drawing/2010/main" Requires="a14">
        <xdr:graphicFrame macro="">
          <xdr:nvGraphicFramePr>
            <xdr:cNvPr id="4" name="Region 1">
              <a:extLst>
                <a:ext uri="{FF2B5EF4-FFF2-40B4-BE49-F238E27FC236}">
                  <a16:creationId xmlns:a16="http://schemas.microsoft.com/office/drawing/2014/main" id="{F3AE2DAC-A2C7-44FA-8DB2-1EC8BE5B492A}"/>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4309673" y="3195819"/>
              <a:ext cx="1842541" cy="15815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70.431241435188" createdVersion="8" refreshedVersion="8" minRefreshableVersion="3" recordCount="35" xr:uid="{92CB8D92-8C7D-468D-BF18-5835354E0DEF}">
  <cacheSource type="worksheet">
    <worksheetSource ref="A1:I36" sheet="sales_data"/>
  </cacheSource>
  <cacheFields count="12">
    <cacheField name="Order_ID" numFmtId="0">
      <sharedItems/>
    </cacheField>
    <cacheField name="Order_Date" numFmtId="15">
      <sharedItems containsSemiMixedTypes="0" containsNonDate="0" containsDate="1" containsString="0" minDate="2025-01-05T00:00:00" maxDate="2025-12-28T00:00:00"/>
    </cacheField>
    <cacheField name="Region" numFmtId="0">
      <sharedItems count="4">
        <s v="West"/>
        <s v="North"/>
        <s v="South"/>
        <s v="East"/>
      </sharedItems>
    </cacheField>
    <cacheField name="Salesperson" numFmtId="0">
      <sharedItems/>
    </cacheField>
    <cacheField name="Product" numFmtId="0">
      <sharedItems count="4">
        <s v="Laptop"/>
        <s v="Mouse"/>
        <s v="Keyboard"/>
        <s v="Monitor"/>
      </sharedItems>
    </cacheField>
    <cacheField name="Category" numFmtId="0">
      <sharedItems/>
    </cacheField>
    <cacheField name="Quantity" numFmtId="0">
      <sharedItems containsSemiMixedTypes="0" containsString="0" containsNumber="1" containsInteger="1" minValue="2" maxValue="45"/>
    </cacheField>
    <cacheField name="Unit_Price" numFmtId="0">
      <sharedItems containsSemiMixedTypes="0" containsString="0" containsNumber="1" containsInteger="1" minValue="800" maxValue="55000"/>
    </cacheField>
    <cacheField name="Discount" numFmtId="9">
      <sharedItems containsSemiMixedTypes="0" containsString="0" containsNumber="1" minValue="0" maxValue="0.1"/>
    </cacheField>
    <cacheField name="net_sales" numFmtId="0" formula="Quantity*Unit_Price * (1-(Discount/100))" databaseField="0"/>
    <cacheField name="NET_s" numFmtId="0" formula="Quantity *Unit_Price * (1-(Discount)/100)" databaseField="0"/>
    <cacheField name="NET_SALES_" numFmtId="0" formula="Quantity *Unit_Price * (1 -Discount /100)" databaseField="0"/>
  </cacheFields>
  <extLst>
    <ext xmlns:x14="http://schemas.microsoft.com/office/spreadsheetml/2009/9/main" uri="{725AE2AE-9491-48be-B2B4-4EB974FC3084}">
      <x14:pivotCacheDefinition pivotCacheId="199281359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73.238458912034" createdVersion="8" refreshedVersion="8" minRefreshableVersion="3" recordCount="24" xr:uid="{BE20CD5B-D8BB-4715-BB95-958B07FDB404}">
  <cacheSource type="worksheet">
    <worksheetSource ref="A1:K25" sheet="Sheet6"/>
  </cacheSource>
  <cacheFields count="12">
    <cacheField name="Order_ID" numFmtId="0">
      <sharedItems count="24">
        <s v="ORD001"/>
        <s v="ORD002"/>
        <s v="ORD003"/>
        <s v="ORD004"/>
        <s v="ORD005"/>
        <s v="ORD006"/>
        <s v="ORD007"/>
        <s v="ORD008"/>
        <s v="ORD009"/>
        <s v="ORD010"/>
        <s v="ORD011"/>
        <s v="ORD012"/>
        <s v="ORD013"/>
        <s v="ORD014"/>
        <s v="ORD015"/>
        <s v="ORD016"/>
        <s v="ORD017"/>
        <s v="ORD018"/>
        <s v="ORD019"/>
        <s v="ORD020"/>
        <s v="ORD021"/>
        <s v="ORD022"/>
        <s v="ORD023"/>
        <s v="ORD024"/>
      </sharedItems>
    </cacheField>
    <cacheField name="Order_Date" numFmtId="15">
      <sharedItems containsSemiMixedTypes="0" containsNonDate="0" containsDate="1" containsString="0" minDate="2026-01-05T00:00:00" maxDate="2026-09-08T00:00:00" count="24">
        <d v="2026-01-05T00:00:00"/>
        <d v="2026-01-12T00:00:00"/>
        <d v="2026-01-20T00:00:00"/>
        <d v="2026-02-03T00:00:00"/>
        <d v="2026-02-15T00:00:00"/>
        <d v="2026-02-25T00:00:00"/>
        <d v="2026-03-05T00:00:00"/>
        <d v="2026-03-18T00:00:00"/>
        <d v="2026-04-02T00:00:00"/>
        <d v="2026-04-14T00:00:00"/>
        <d v="2026-04-25T00:00:00"/>
        <d v="2026-05-08T00:00:00"/>
        <d v="2026-05-19T00:00:00"/>
        <d v="2026-05-30T00:00:00"/>
        <d v="2026-06-07T00:00:00"/>
        <d v="2026-06-18T00:00:00"/>
        <d v="2026-07-03T00:00:00"/>
        <d v="2026-07-15T00:00:00"/>
        <d v="2026-07-28T00:00:00"/>
        <d v="2026-08-09T00:00:00"/>
        <d v="2026-08-17T00:00:00"/>
        <d v="2026-08-29T00:00:00"/>
        <d v="2026-09-04T00:00:00"/>
        <d v="2026-09-07T00:00:00"/>
      </sharedItems>
      <fieldGroup par="11"/>
    </cacheField>
    <cacheField name="Region" numFmtId="0">
      <sharedItems count="4">
        <s v="East"/>
        <s v="West"/>
        <s v="North"/>
        <s v="South"/>
      </sharedItems>
    </cacheField>
    <cacheField name="Salesperson" numFmtId="0">
      <sharedItems count="4">
        <s v="Rahul Shah"/>
        <s v="Priya Patel"/>
        <s v="Amit Kumar"/>
        <s v="Neha Singh"/>
      </sharedItems>
    </cacheField>
    <cacheField name="Product" numFmtId="0">
      <sharedItems/>
    </cacheField>
    <cacheField name="Category" numFmtId="0">
      <sharedItems/>
    </cacheField>
    <cacheField name="Customer_Name" numFmtId="0">
      <sharedItems count="24">
        <s v="Rahul Shah"/>
        <s v="Priya Patel"/>
        <s v="Amit Kumar"/>
        <s v="Neha Singh"/>
        <s v="Riya Sharma"/>
        <s v="Arjun Patel"/>
        <s v="Sneha Verma"/>
        <s v="Karan Mehta"/>
        <s v="Pooja Patel"/>
        <s v="Ravi Kumar"/>
        <s v="Meena Shah"/>
        <s v="Jay Patel"/>
        <s v="Anjali Shah"/>
        <s v="Dev Shah"/>
        <s v="Nisha Patel"/>
        <s v="Raj Mehta"/>
        <s v="Ayesha Khan"/>
        <s v="Mohit Shah"/>
        <s v="Simran Kaur"/>
        <s v="Varun Patel"/>
        <s v="Tina Shah"/>
        <s v="Rohan Mehta"/>
        <s v="Neel Shah"/>
        <s v="Kavya Patel"/>
      </sharedItems>
    </cacheField>
    <cacheField name="Address" numFmtId="0">
      <sharedItems/>
    </cacheField>
    <cacheField name="Units" numFmtId="0">
      <sharedItems containsSemiMixedTypes="0" containsString="0" containsNumber="1" containsInteger="1" minValue="1" maxValue="7"/>
    </cacheField>
    <cacheField name="Unit_Price" numFmtId="0">
      <sharedItems containsSemiMixedTypes="0" containsString="0" containsNumber="1" containsInteger="1" minValue="18000" maxValue="72000"/>
    </cacheField>
    <cacheField name="Sales" numFmtId="0">
      <sharedItems containsSemiMixedTypes="0" containsString="0" containsNumber="1" containsInteger="1" minValue="64000" maxValue="232000"/>
    </cacheField>
    <cacheField name="Days (Order_Date)" numFmtId="0" databaseField="0">
      <fieldGroup base="1">
        <rangePr groupBy="days" startDate="2026-01-05T00:00:00" endDate="2026-09-08T00:00:00"/>
        <groupItems count="368">
          <s v="&lt;05-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8-09-2026"/>
        </groupItems>
      </fieldGroup>
    </cacheField>
  </cacheFields>
  <extLst>
    <ext xmlns:x14="http://schemas.microsoft.com/office/spreadsheetml/2009/9/main" uri="{725AE2AE-9491-48be-B2B4-4EB974FC3084}">
      <x14:pivotCacheDefinition pivotCacheId="20822333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
  <r>
    <s v="ORD001"/>
    <d v="2025-01-05T00:00:00"/>
    <x v="0"/>
    <s v="Amit"/>
    <x v="0"/>
    <s v="Electronics"/>
    <n v="2"/>
    <n v="55000"/>
    <n v="0.05"/>
  </r>
  <r>
    <s v="ORD002"/>
    <d v="2025-01-12T00:00:00"/>
    <x v="1"/>
    <s v="Priya"/>
    <x v="1"/>
    <s v="Accessories"/>
    <n v="10"/>
    <n v="800"/>
    <n v="0"/>
  </r>
  <r>
    <s v="ORD003"/>
    <d v="2025-01-20T00:00:00"/>
    <x v="2"/>
    <s v="Rahul"/>
    <x v="2"/>
    <s v="Accessories"/>
    <n v="8"/>
    <n v="1500"/>
    <n v="0.1"/>
  </r>
  <r>
    <s v="ORD004"/>
    <d v="2025-02-03T00:00:00"/>
    <x v="0"/>
    <s v="Neha"/>
    <x v="3"/>
    <s v="Electronics"/>
    <n v="4"/>
    <n v="18000"/>
    <n v="0.05"/>
  </r>
  <r>
    <s v="ORD005"/>
    <d v="2025-02-15T00:00:00"/>
    <x v="1"/>
    <s v="Amit"/>
    <x v="0"/>
    <s v="Electronics"/>
    <n v="3"/>
    <n v="55000"/>
    <n v="0.08"/>
  </r>
  <r>
    <s v="ORD006"/>
    <d v="2025-02-25T00:00:00"/>
    <x v="2"/>
    <s v="Priya"/>
    <x v="1"/>
    <s v="Accessories"/>
    <n v="15"/>
    <n v="800"/>
    <n v="0.05"/>
  </r>
  <r>
    <s v="ORD007"/>
    <d v="2025-03-07T00:00:00"/>
    <x v="3"/>
    <s v="Rahul"/>
    <x v="2"/>
    <s v="Accessories"/>
    <n v="12"/>
    <n v="1500"/>
    <n v="0"/>
  </r>
  <r>
    <s v="ORD008"/>
    <d v="2025-03-18T00:00:00"/>
    <x v="0"/>
    <s v="Neha"/>
    <x v="0"/>
    <s v="Electronics"/>
    <n v="2"/>
    <n v="55000"/>
    <n v="0.1"/>
  </r>
  <r>
    <s v="ORD009"/>
    <d v="2025-03-29T00:00:00"/>
    <x v="1"/>
    <s v="Amit"/>
    <x v="3"/>
    <s v="Electronics"/>
    <n v="5"/>
    <n v="18000"/>
    <n v="0.05"/>
  </r>
  <r>
    <s v="ORD010"/>
    <d v="2025-04-06T00:00:00"/>
    <x v="2"/>
    <s v="Priya"/>
    <x v="0"/>
    <s v="Electronics"/>
    <n v="4"/>
    <n v="55000"/>
    <n v="0.05"/>
  </r>
  <r>
    <s v="ORD011"/>
    <d v="2025-04-17T00:00:00"/>
    <x v="3"/>
    <s v="Rahul"/>
    <x v="1"/>
    <s v="Accessories"/>
    <n v="20"/>
    <n v="800"/>
    <n v="0"/>
  </r>
  <r>
    <s v="ORD012"/>
    <d v="2025-04-28T00:00:00"/>
    <x v="0"/>
    <s v="Neha"/>
    <x v="2"/>
    <s v="Accessories"/>
    <n v="10"/>
    <n v="1500"/>
    <n v="0.1"/>
  </r>
  <r>
    <s v="ORD013"/>
    <d v="2025-05-08T00:00:00"/>
    <x v="1"/>
    <s v="Amit"/>
    <x v="3"/>
    <s v="Electronics"/>
    <n v="6"/>
    <n v="18000"/>
    <n v="0.05"/>
  </r>
  <r>
    <s v="ORD014"/>
    <d v="2025-05-19T00:00:00"/>
    <x v="2"/>
    <s v="Priya"/>
    <x v="0"/>
    <s v="Electronics"/>
    <n v="2"/>
    <n v="55000"/>
    <n v="0.08"/>
  </r>
  <r>
    <s v="ORD015"/>
    <d v="2025-05-30T00:00:00"/>
    <x v="3"/>
    <s v="Rahul"/>
    <x v="1"/>
    <s v="Accessories"/>
    <n v="25"/>
    <n v="800"/>
    <n v="0.05"/>
  </r>
  <r>
    <s v="ORD016"/>
    <d v="2025-06-09T00:00:00"/>
    <x v="0"/>
    <s v="Neha"/>
    <x v="3"/>
    <s v="Electronics"/>
    <n v="5"/>
    <n v="18000"/>
    <n v="0"/>
  </r>
  <r>
    <s v="ORD017"/>
    <d v="2025-06-21T00:00:00"/>
    <x v="1"/>
    <s v="Amit"/>
    <x v="2"/>
    <s v="Accessories"/>
    <n v="15"/>
    <n v="1500"/>
    <n v="0.1"/>
  </r>
  <r>
    <s v="ORD018"/>
    <d v="2025-06-29T00:00:00"/>
    <x v="2"/>
    <s v="Priya"/>
    <x v="0"/>
    <s v="Electronics"/>
    <n v="3"/>
    <n v="55000"/>
    <n v="0.05"/>
  </r>
  <r>
    <s v="ORD019"/>
    <d v="2025-07-07T00:00:00"/>
    <x v="3"/>
    <s v="Rahul"/>
    <x v="3"/>
    <s v="Electronics"/>
    <n v="4"/>
    <n v="18000"/>
    <n v="0.05"/>
  </r>
  <r>
    <s v="ORD020"/>
    <d v="2025-07-18T00:00:00"/>
    <x v="0"/>
    <s v="Neha"/>
    <x v="0"/>
    <s v="Electronics"/>
    <n v="2"/>
    <n v="55000"/>
    <n v="0.1"/>
  </r>
  <r>
    <s v="ORD021"/>
    <d v="2025-07-26T00:00:00"/>
    <x v="1"/>
    <s v="Amit"/>
    <x v="1"/>
    <s v="Accessories"/>
    <n v="30"/>
    <n v="800"/>
    <n v="0"/>
  </r>
  <r>
    <s v="ORD022"/>
    <d v="2025-08-05T00:00:00"/>
    <x v="2"/>
    <s v="Priya"/>
    <x v="2"/>
    <s v="Accessories"/>
    <n v="18"/>
    <n v="1500"/>
    <n v="0.05"/>
  </r>
  <r>
    <s v="ORD023"/>
    <d v="2025-08-16T00:00:00"/>
    <x v="3"/>
    <s v="Rahul"/>
    <x v="0"/>
    <s v="Electronics"/>
    <n v="3"/>
    <n v="55000"/>
    <n v="0.08"/>
  </r>
  <r>
    <s v="ORD024"/>
    <d v="2025-08-27T00:00:00"/>
    <x v="0"/>
    <s v="Neha"/>
    <x v="3"/>
    <s v="Electronics"/>
    <n v="6"/>
    <n v="18000"/>
    <n v="0.05"/>
  </r>
  <r>
    <s v="ORD025"/>
    <d v="2025-09-08T00:00:00"/>
    <x v="1"/>
    <s v="Amit"/>
    <x v="0"/>
    <s v="Electronics"/>
    <n v="4"/>
    <n v="55000"/>
    <n v="0.1"/>
  </r>
  <r>
    <s v="ORD026"/>
    <d v="2025-09-19T00:00:00"/>
    <x v="2"/>
    <s v="Priya"/>
    <x v="1"/>
    <s v="Accessories"/>
    <n v="35"/>
    <n v="800"/>
    <n v="0.05"/>
  </r>
  <r>
    <s v="ORD027"/>
    <d v="2025-09-30T00:00:00"/>
    <x v="3"/>
    <s v="Rahul"/>
    <x v="2"/>
    <s v="Accessories"/>
    <n v="20"/>
    <n v="1500"/>
    <n v="0"/>
  </r>
  <r>
    <s v="ORD028"/>
    <d v="2025-10-10T00:00:00"/>
    <x v="0"/>
    <s v="Neha"/>
    <x v="3"/>
    <s v="Electronics"/>
    <n v="7"/>
    <n v="18000"/>
    <n v="0.05"/>
  </r>
  <r>
    <s v="ORD029"/>
    <d v="2025-10-21T00:00:00"/>
    <x v="1"/>
    <s v="Amit"/>
    <x v="0"/>
    <s v="Electronics"/>
    <n v="3"/>
    <n v="55000"/>
    <n v="0.08"/>
  </r>
  <r>
    <s v="ORD030"/>
    <d v="2025-11-02T00:00:00"/>
    <x v="2"/>
    <s v="Priya"/>
    <x v="1"/>
    <s v="Accessories"/>
    <n v="40"/>
    <n v="800"/>
    <n v="0"/>
  </r>
  <r>
    <s v="ORD031"/>
    <d v="2025-11-14T00:00:00"/>
    <x v="3"/>
    <s v="Rahul"/>
    <x v="0"/>
    <s v="Electronics"/>
    <n v="2"/>
    <n v="55000"/>
    <n v="0.05"/>
  </r>
  <r>
    <s v="ORD032"/>
    <d v="2025-11-25T00:00:00"/>
    <x v="0"/>
    <s v="Neha"/>
    <x v="2"/>
    <s v="Accessories"/>
    <n v="22"/>
    <n v="1500"/>
    <n v="0.1"/>
  </r>
  <r>
    <s v="ORD033"/>
    <d v="2025-12-05T00:00:00"/>
    <x v="1"/>
    <s v="Amit"/>
    <x v="3"/>
    <s v="Electronics"/>
    <n v="8"/>
    <n v="18000"/>
    <n v="0.05"/>
  </r>
  <r>
    <s v="ORD034"/>
    <d v="2025-12-16T00:00:00"/>
    <x v="2"/>
    <s v="Priya"/>
    <x v="0"/>
    <s v="Electronics"/>
    <n v="4"/>
    <n v="55000"/>
    <n v="0.08"/>
  </r>
  <r>
    <s v="ORD035"/>
    <d v="2025-12-27T00:00:00"/>
    <x v="3"/>
    <s v="Rahul"/>
    <x v="1"/>
    <s v="Accessories"/>
    <n v="45"/>
    <n v="800"/>
    <n v="0.0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
  <r>
    <x v="0"/>
    <x v="0"/>
    <x v="0"/>
    <x v="0"/>
    <s v="iPhone 15"/>
    <s v="Mobile"/>
    <x v="0"/>
    <s v="Ahmedabad, Gujarat"/>
    <n v="2"/>
    <n v="65000"/>
    <n v="130000"/>
  </r>
  <r>
    <x v="1"/>
    <x v="1"/>
    <x v="1"/>
    <x v="1"/>
    <s v="Galaxy S24"/>
    <s v="Mobile"/>
    <x v="1"/>
    <s v="Mumbai, Maharashtra"/>
    <n v="3"/>
    <n v="58000"/>
    <n v="174000"/>
  </r>
  <r>
    <x v="2"/>
    <x v="2"/>
    <x v="2"/>
    <x v="2"/>
    <s v="Dell Laptop"/>
    <s v="Laptop"/>
    <x v="2"/>
    <s v="Delhi, India"/>
    <n v="2"/>
    <n v="72000"/>
    <n v="144000"/>
  </r>
  <r>
    <x v="3"/>
    <x v="3"/>
    <x v="3"/>
    <x v="3"/>
    <s v="HP Laptop"/>
    <s v="Laptop"/>
    <x v="3"/>
    <s v="Bangalore, Karnataka"/>
    <n v="1"/>
    <n v="68000"/>
    <n v="68000"/>
  </r>
  <r>
    <x v="4"/>
    <x v="4"/>
    <x v="0"/>
    <x v="0"/>
    <s v="AirPods"/>
    <s v="Accessories"/>
    <x v="4"/>
    <s v="Ahmedabad,Gujarat"/>
    <n v="5"/>
    <n v="18000"/>
    <n v="90000"/>
  </r>
  <r>
    <x v="5"/>
    <x v="5"/>
    <x v="1"/>
    <x v="1"/>
    <s v="iPhone 15"/>
    <s v="Mobile"/>
    <x v="5"/>
    <s v="Pune, Maharashtra"/>
    <n v="2"/>
    <n v="65000"/>
    <n v="130000"/>
  </r>
  <r>
    <x v="6"/>
    <x v="6"/>
    <x v="2"/>
    <x v="2"/>
    <s v="Lenovo Laptop"/>
    <s v="Laptop"/>
    <x v="6"/>
    <s v="Jaipur,Rajasthan"/>
    <n v="3"/>
    <n v="62000"/>
    <n v="186000"/>
  </r>
  <r>
    <x v="7"/>
    <x v="7"/>
    <x v="3"/>
    <x v="3"/>
    <s v="Galaxy S24"/>
    <s v="Mobile"/>
    <x v="7"/>
    <s v="Chennai, Tamil Nadu"/>
    <n v="2"/>
    <n v="58000"/>
    <n v="116000"/>
  </r>
  <r>
    <x v="8"/>
    <x v="8"/>
    <x v="0"/>
    <x v="0"/>
    <s v="Samsung Tab"/>
    <s v="Tablet"/>
    <x v="8"/>
    <s v="Surat, Gujarat"/>
    <n v="4"/>
    <n v="32000"/>
    <n v="128000"/>
  </r>
  <r>
    <x v="9"/>
    <x v="9"/>
    <x v="1"/>
    <x v="1"/>
    <s v="AirPods"/>
    <s v="Accessories"/>
    <x v="9"/>
    <s v="Mumbai,Maharashtra"/>
    <n v="6"/>
    <n v="18000"/>
    <n v="108000"/>
  </r>
  <r>
    <x v="10"/>
    <x v="10"/>
    <x v="2"/>
    <x v="2"/>
    <s v="iPhone 15"/>
    <s v="Mobile"/>
    <x v="10"/>
    <s v="Delhi,India"/>
    <n v="2"/>
    <n v="65000"/>
    <n v="130000"/>
  </r>
  <r>
    <x v="11"/>
    <x v="11"/>
    <x v="3"/>
    <x v="3"/>
    <s v="HP Laptop"/>
    <s v="Laptop"/>
    <x v="11"/>
    <s v="Bangalore, Karnataka"/>
    <n v="2"/>
    <n v="68000"/>
    <n v="136000"/>
  </r>
  <r>
    <x v="12"/>
    <x v="12"/>
    <x v="0"/>
    <x v="0"/>
    <s v="Galaxy S24"/>
    <s v="Mobile"/>
    <x v="12"/>
    <s v="Ahmedabad, Gujarat"/>
    <n v="3"/>
    <n v="58000"/>
    <n v="174000"/>
  </r>
  <r>
    <x v="13"/>
    <x v="13"/>
    <x v="1"/>
    <x v="1"/>
    <s v="Samsung Tab"/>
    <s v="Tablet"/>
    <x v="13"/>
    <s v="Pune, Maharashtra"/>
    <n v="2"/>
    <n v="32000"/>
    <n v="64000"/>
  </r>
  <r>
    <x v="14"/>
    <x v="14"/>
    <x v="2"/>
    <x v="2"/>
    <s v="Dell Laptop"/>
    <s v="Laptop"/>
    <x v="14"/>
    <s v="Delhi, India"/>
    <n v="3"/>
    <n v="72000"/>
    <n v="216000"/>
  </r>
  <r>
    <x v="15"/>
    <x v="15"/>
    <x v="3"/>
    <x v="3"/>
    <s v="AirPods"/>
    <s v="Accessories"/>
    <x v="15"/>
    <s v="Chennai,Tamil Nadu"/>
    <n v="4"/>
    <n v="18000"/>
    <n v="72000"/>
  </r>
  <r>
    <x v="16"/>
    <x v="16"/>
    <x v="0"/>
    <x v="0"/>
    <s v="iPhone 15"/>
    <s v="Mobile"/>
    <x v="16"/>
    <s v="Vadodara, Gujarat"/>
    <n v="3"/>
    <n v="65000"/>
    <n v="195000"/>
  </r>
  <r>
    <x v="17"/>
    <x v="17"/>
    <x v="1"/>
    <x v="1"/>
    <s v="HP Laptop"/>
    <s v="Laptop"/>
    <x v="17"/>
    <s v="Mumbai, Maharashtra"/>
    <n v="2"/>
    <n v="68000"/>
    <n v="136000"/>
  </r>
  <r>
    <x v="18"/>
    <x v="18"/>
    <x v="2"/>
    <x v="2"/>
    <s v="Galaxy S24"/>
    <s v="Mobile"/>
    <x v="18"/>
    <s v="Chandigarh,Punjab"/>
    <n v="4"/>
    <n v="58000"/>
    <n v="232000"/>
  </r>
  <r>
    <x v="19"/>
    <x v="19"/>
    <x v="3"/>
    <x v="3"/>
    <s v="Samsung Tab"/>
    <s v="Tablet"/>
    <x v="19"/>
    <s v="Chennai, Tamil Nadu"/>
    <n v="3"/>
    <n v="32000"/>
    <n v="96000"/>
  </r>
  <r>
    <x v="20"/>
    <x v="20"/>
    <x v="0"/>
    <x v="0"/>
    <s v="AirPods"/>
    <s v="Accessories"/>
    <x v="20"/>
    <s v="Ahmedabad, Gujarat"/>
    <n v="7"/>
    <n v="18000"/>
    <n v="126000"/>
  </r>
  <r>
    <x v="21"/>
    <x v="21"/>
    <x v="1"/>
    <x v="1"/>
    <s v="iPhone 15"/>
    <s v="Mobile"/>
    <x v="21"/>
    <s v="Pune,Maharashtra"/>
    <n v="2"/>
    <n v="65000"/>
    <n v="130000"/>
  </r>
  <r>
    <x v="22"/>
    <x v="22"/>
    <x v="2"/>
    <x v="2"/>
    <s v="Lenovo Laptop"/>
    <s v="Laptop"/>
    <x v="22"/>
    <s v="Delhi, India"/>
    <n v="2"/>
    <n v="62000"/>
    <n v="124000"/>
  </r>
  <r>
    <x v="23"/>
    <x v="23"/>
    <x v="3"/>
    <x v="3"/>
    <s v="Galaxy S24"/>
    <s v="Mobile"/>
    <x v="23"/>
    <s v="Bangalore,Karnataka"/>
    <n v="3"/>
    <n v="58000"/>
    <n v="174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57573D-00BA-4A57-951F-F65FF7B82EE2}" name="PivotTable2"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12">
    <pivotField showAll="0"/>
    <pivotField numFmtId="15" showAll="0"/>
    <pivotField showAll="0">
      <items count="5">
        <item h="1" x="3"/>
        <item h="1" x="1"/>
        <item h="1" x="2"/>
        <item x="0"/>
        <item t="default"/>
      </items>
    </pivotField>
    <pivotField showAll="0"/>
    <pivotField axis="axisRow" showAll="0">
      <items count="5">
        <item x="2"/>
        <item x="0"/>
        <item x="3"/>
        <item x="1"/>
        <item t="default"/>
      </items>
    </pivotField>
    <pivotField showAll="0"/>
    <pivotField showAll="0"/>
    <pivotField showAll="0"/>
    <pivotField numFmtId="9" showAll="0"/>
    <pivotField dragToRow="0" dragToCol="0" dragToPage="0" showAll="0" defaultSubtotal="0"/>
    <pivotField dragToRow="0" dragToCol="0" dragToPage="0" showAll="0" defaultSubtotal="0"/>
    <pivotField dataField="1" dragToRow="0" dragToCol="0" dragToPage="0" showAll="0" defaultSubtotal="0"/>
  </pivotFields>
  <rowFields count="1">
    <field x="4"/>
  </rowFields>
  <rowItems count="4">
    <i>
      <x/>
    </i>
    <i>
      <x v="1"/>
    </i>
    <i>
      <x v="2"/>
    </i>
    <i t="grand">
      <x/>
    </i>
  </rowItems>
  <colItems count="1">
    <i/>
  </colItems>
  <dataFields count="1">
    <dataField name="Sum of NET_SALES_" fld="11" baseField="4" baseItem="0" numFmtId="1"/>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9D545C-EC20-4806-A513-2DB13D12EEEB}" name="PivotTable3"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5" firstHeaderRow="1" firstDataRow="1" firstDataCol="1"/>
  <pivotFields count="12">
    <pivotField showAll="0"/>
    <pivotField numFmtId="15" showAll="0">
      <items count="25">
        <item x="0"/>
        <item x="1"/>
        <item x="2"/>
        <item x="3"/>
        <item x="4"/>
        <item x="5"/>
        <item x="6"/>
        <item x="7"/>
        <item x="8"/>
        <item x="9"/>
        <item x="10"/>
        <item x="11"/>
        <item x="12"/>
        <item x="13"/>
        <item x="14"/>
        <item x="15"/>
        <item x="16"/>
        <item x="17"/>
        <item x="18"/>
        <item x="19"/>
        <item x="20"/>
        <item x="21"/>
        <item x="22"/>
        <item x="23"/>
        <item t="default"/>
      </items>
    </pivotField>
    <pivotField axis="axisRow" showAll="0">
      <items count="5">
        <item h="1" x="0"/>
        <item x="2"/>
        <item h="1" x="3"/>
        <item h="1" x="1"/>
        <item t="default"/>
      </items>
    </pivotField>
    <pivotField showAll="0"/>
    <pivotField showAll="0"/>
    <pivotField showAll="0"/>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2"/>
  </rowFields>
  <rowItems count="2">
    <i>
      <x v="1"/>
    </i>
    <i t="grand">
      <x/>
    </i>
  </rowItems>
  <colItems count="1">
    <i/>
  </colItems>
  <dataFields count="1">
    <dataField name="Sum of Sal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BC9B68E-7D3F-4A93-8C41-778850335268}" name="PivotTable4"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pivotFields count="12">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numFmtId="15"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5">
        <item h="1" x="0"/>
        <item x="2"/>
        <item h="1" x="3"/>
        <item h="1" x="1"/>
        <item t="default"/>
      </items>
    </pivotField>
    <pivotField axis="axisRow" showAll="0">
      <items count="5">
        <item x="2"/>
        <item x="3"/>
        <item x="1"/>
        <item x="0"/>
        <item t="default"/>
      </items>
    </pivotField>
    <pivotField showAll="0"/>
    <pivotField showAll="0"/>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3"/>
  </rowFields>
  <rowItems count="2">
    <i>
      <x/>
    </i>
    <i t="grand">
      <x/>
    </i>
  </rowItems>
  <colItems count="1">
    <i/>
  </colItems>
  <dataFields count="1">
    <dataField name="Sum of Sal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859390B-5CD7-42C6-8860-A1AA4E497740}" name="PivotTable9"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C20" firstHeaderRow="1" firstDataRow="1" firstDataCol="0"/>
  <pivotFields count="12">
    <pivotField showAll="0"/>
    <pivotField numFmtId="15"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pivotField showAll="0"/>
    <pivotField showAll="0">
      <items count="25">
        <item x="2"/>
        <item x="12"/>
        <item x="5"/>
        <item x="16"/>
        <item x="13"/>
        <item x="11"/>
        <item x="7"/>
        <item x="23"/>
        <item x="10"/>
        <item x="17"/>
        <item x="22"/>
        <item x="3"/>
        <item x="14"/>
        <item x="8"/>
        <item x="1"/>
        <item x="0"/>
        <item x="15"/>
        <item x="9"/>
        <item x="4"/>
        <item x="21"/>
        <item x="18"/>
        <item x="6"/>
        <item x="20"/>
        <item x="19"/>
        <item t="default"/>
      </items>
    </pivotField>
    <pivotField showAll="0"/>
    <pivotField showAll="0"/>
    <pivotField showAll="0"/>
    <pivotField showAll="0"/>
    <pivotField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026F2CE-60BB-48E7-81D8-E3A032AE0E0A}" sourceName="Region">
  <pivotTables>
    <pivotTable tabId="3" name="PivotTable2"/>
  </pivotTables>
  <data>
    <tabular pivotCacheId="1992813598">
      <items count="4">
        <i x="3"/>
        <i x="1"/>
        <i x="2"/>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EFD45D24-DBB4-4469-9D32-6068AC125097}" sourceName="Region">
  <pivotTables>
    <pivotTable tabId="10" name="PivotTable4"/>
    <pivotTable tabId="7" name="PivotTable3"/>
  </pivotTables>
  <data>
    <tabular pivotCacheId="2082233382">
      <items count="4">
        <i x="0"/>
        <i x="2" s="1"/>
        <i x="3"/>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D156566-07DA-4C84-97A8-7B377115ADB7}" cache="Slicer_Region" caption="Region"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D3E01717-6926-43AE-B19F-E562816828D3}" cache="Slicer_Region1" caption="Region"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3D238-8C1D-4DCC-A493-86DAEA02E6E7}">
  <dimension ref="A3:B7"/>
  <sheetViews>
    <sheetView workbookViewId="0">
      <selection activeCell="B4" sqref="B4"/>
    </sheetView>
  </sheetViews>
  <sheetFormatPr defaultRowHeight="14.5" x14ac:dyDescent="0.35"/>
  <cols>
    <col min="1" max="1" width="12.453125" bestFit="1" customWidth="1"/>
    <col min="2" max="2" width="17.1796875" bestFit="1" customWidth="1"/>
  </cols>
  <sheetData>
    <row r="3" spans="1:2" x14ac:dyDescent="0.35">
      <c r="A3" s="16" t="s">
        <v>58</v>
      </c>
      <c r="B3" t="s">
        <v>82</v>
      </c>
    </row>
    <row r="4" spans="1:2" x14ac:dyDescent="0.35">
      <c r="A4" s="17" t="s">
        <v>22</v>
      </c>
      <c r="B4" s="20">
        <v>95808</v>
      </c>
    </row>
    <row r="5" spans="1:2" x14ac:dyDescent="0.35">
      <c r="A5" s="17" t="s">
        <v>12</v>
      </c>
      <c r="B5" s="20">
        <v>987525</v>
      </c>
    </row>
    <row r="6" spans="1:2" x14ac:dyDescent="0.35">
      <c r="A6" s="17" t="s">
        <v>25</v>
      </c>
      <c r="B6" s="20">
        <v>1581624</v>
      </c>
    </row>
    <row r="7" spans="1:2" x14ac:dyDescent="0.35">
      <c r="A7" s="17" t="s">
        <v>59</v>
      </c>
      <c r="B7" s="20">
        <v>14313600</v>
      </c>
    </row>
  </sheetData>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71D04-9CFF-4EDD-88BE-99FA21654370}">
  <dimension ref="A1"/>
  <sheetViews>
    <sheetView workbookViewId="0">
      <selection activeCell="K5" sqref="K5"/>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B2BDC-860E-46D5-B486-854388822436}">
  <dimension ref="A1:P36"/>
  <sheetViews>
    <sheetView topLeftCell="B1" workbookViewId="0">
      <selection activeCell="H2" sqref="H2"/>
    </sheetView>
  </sheetViews>
  <sheetFormatPr defaultRowHeight="14.5" x14ac:dyDescent="0.35"/>
  <cols>
    <col min="1" max="1" width="14.1796875" customWidth="1"/>
    <col min="2" max="2" width="13.08984375" customWidth="1"/>
    <col min="3" max="3" width="12.6328125" customWidth="1"/>
    <col min="4" max="4" width="13.453125" customWidth="1"/>
    <col min="5" max="5" width="13.81640625" customWidth="1"/>
    <col min="6" max="6" width="14.7265625" customWidth="1"/>
    <col min="7" max="7" width="14.08984375" customWidth="1"/>
    <col min="8" max="8" width="13.26953125" customWidth="1"/>
    <col min="9" max="9" width="14.08984375" customWidth="1"/>
    <col min="10" max="10" width="11.81640625" customWidth="1"/>
    <col min="11" max="11" width="19.1796875" customWidth="1"/>
  </cols>
  <sheetData>
    <row r="1" spans="1:16" ht="29" x14ac:dyDescent="0.35">
      <c r="A1" s="1" t="s">
        <v>0</v>
      </c>
      <c r="B1" s="1" t="s">
        <v>1</v>
      </c>
      <c r="C1" s="1" t="s">
        <v>2</v>
      </c>
      <c r="D1" s="1" t="s">
        <v>3</v>
      </c>
      <c r="E1" s="1" t="s">
        <v>4</v>
      </c>
      <c r="F1" s="1" t="s">
        <v>5</v>
      </c>
      <c r="G1" s="3" t="s">
        <v>6</v>
      </c>
      <c r="H1" s="3" t="s">
        <v>7</v>
      </c>
      <c r="I1" s="3" t="s">
        <v>8</v>
      </c>
      <c r="J1" s="3" t="s">
        <v>79</v>
      </c>
      <c r="K1" s="3" t="s">
        <v>83</v>
      </c>
    </row>
    <row r="2" spans="1:16" ht="29" x14ac:dyDescent="0.35">
      <c r="A2" s="4" t="s">
        <v>9</v>
      </c>
      <c r="B2" s="5">
        <v>45662</v>
      </c>
      <c r="C2" s="4" t="s">
        <v>10</v>
      </c>
      <c r="D2" s="4" t="s">
        <v>11</v>
      </c>
      <c r="E2" s="4" t="s">
        <v>12</v>
      </c>
      <c r="F2" s="4" t="s">
        <v>13</v>
      </c>
      <c r="G2" s="2">
        <v>2</v>
      </c>
      <c r="H2" s="2">
        <v>55000</v>
      </c>
      <c r="I2" s="6">
        <v>0.05</v>
      </c>
      <c r="J2">
        <f>H2*G2</f>
        <v>110000</v>
      </c>
      <c r="K2" s="19">
        <f>1-I2</f>
        <v>0.95</v>
      </c>
      <c r="L2">
        <f>J2*K2</f>
        <v>104500</v>
      </c>
      <c r="M2">
        <f>(H2 *G2) * (1-I2)</f>
        <v>104500</v>
      </c>
      <c r="N2" t="s">
        <v>80</v>
      </c>
    </row>
    <row r="3" spans="1:16" ht="29" x14ac:dyDescent="0.35">
      <c r="A3" s="4" t="s">
        <v>14</v>
      </c>
      <c r="B3" s="5">
        <v>45669</v>
      </c>
      <c r="C3" s="4" t="s">
        <v>15</v>
      </c>
      <c r="D3" s="4" t="s">
        <v>16</v>
      </c>
      <c r="E3" s="4" t="s">
        <v>17</v>
      </c>
      <c r="F3" s="4" t="s">
        <v>18</v>
      </c>
      <c r="G3" s="2">
        <v>10</v>
      </c>
      <c r="H3" s="2">
        <v>800</v>
      </c>
      <c r="I3" s="6">
        <v>0</v>
      </c>
      <c r="J3">
        <f>H3*G3</f>
        <v>8000</v>
      </c>
      <c r="K3" s="19">
        <f t="shared" ref="K3:K36" si="0">1-I3</f>
        <v>1</v>
      </c>
      <c r="L3">
        <f t="shared" ref="L3:L36" si="1">J3*K3</f>
        <v>8000</v>
      </c>
      <c r="M3">
        <f t="shared" ref="M3:M36" si="2">(H3 *G3) * (1-I3)</f>
        <v>8000</v>
      </c>
    </row>
    <row r="4" spans="1:16" ht="29" x14ac:dyDescent="0.35">
      <c r="A4" s="4" t="s">
        <v>19</v>
      </c>
      <c r="B4" s="5">
        <v>45677</v>
      </c>
      <c r="C4" s="4" t="s">
        <v>20</v>
      </c>
      <c r="D4" s="4" t="s">
        <v>21</v>
      </c>
      <c r="E4" s="4" t="s">
        <v>22</v>
      </c>
      <c r="F4" s="4" t="s">
        <v>18</v>
      </c>
      <c r="G4" s="2">
        <v>8</v>
      </c>
      <c r="H4" s="2">
        <v>1500</v>
      </c>
      <c r="I4" s="6">
        <v>0.1</v>
      </c>
      <c r="J4">
        <f t="shared" ref="J4:J36" si="3">H4*G4</f>
        <v>12000</v>
      </c>
      <c r="K4" s="19">
        <f t="shared" si="0"/>
        <v>0.9</v>
      </c>
      <c r="L4">
        <f t="shared" si="1"/>
        <v>10800</v>
      </c>
      <c r="M4">
        <f t="shared" si="2"/>
        <v>10800</v>
      </c>
      <c r="P4" t="s">
        <v>81</v>
      </c>
    </row>
    <row r="5" spans="1:16" ht="29" x14ac:dyDescent="0.35">
      <c r="A5" s="4" t="s">
        <v>23</v>
      </c>
      <c r="B5" s="5">
        <v>45691</v>
      </c>
      <c r="C5" s="4" t="s">
        <v>10</v>
      </c>
      <c r="D5" s="4" t="s">
        <v>24</v>
      </c>
      <c r="E5" s="4" t="s">
        <v>25</v>
      </c>
      <c r="F5" s="4" t="s">
        <v>13</v>
      </c>
      <c r="G5" s="2">
        <v>4</v>
      </c>
      <c r="H5" s="2">
        <v>18000</v>
      </c>
      <c r="I5" s="6">
        <v>0.05</v>
      </c>
      <c r="J5">
        <f t="shared" si="3"/>
        <v>72000</v>
      </c>
      <c r="K5" s="19">
        <f t="shared" si="0"/>
        <v>0.95</v>
      </c>
      <c r="L5">
        <f t="shared" si="1"/>
        <v>68400</v>
      </c>
      <c r="M5">
        <f t="shared" si="2"/>
        <v>68400</v>
      </c>
    </row>
    <row r="6" spans="1:16" ht="29" x14ac:dyDescent="0.35">
      <c r="A6" s="4" t="s">
        <v>26</v>
      </c>
      <c r="B6" s="5">
        <v>45703</v>
      </c>
      <c r="C6" s="4" t="s">
        <v>15</v>
      </c>
      <c r="D6" s="4" t="s">
        <v>11</v>
      </c>
      <c r="E6" s="4" t="s">
        <v>12</v>
      </c>
      <c r="F6" s="4" t="s">
        <v>13</v>
      </c>
      <c r="G6" s="2">
        <v>3</v>
      </c>
      <c r="H6" s="2">
        <v>55000</v>
      </c>
      <c r="I6" s="6">
        <v>0.08</v>
      </c>
      <c r="J6">
        <f t="shared" si="3"/>
        <v>165000</v>
      </c>
      <c r="K6" s="19">
        <f t="shared" si="0"/>
        <v>0.92</v>
      </c>
      <c r="L6">
        <f t="shared" si="1"/>
        <v>151800</v>
      </c>
      <c r="M6">
        <f t="shared" si="2"/>
        <v>151800</v>
      </c>
    </row>
    <row r="7" spans="1:16" ht="29" x14ac:dyDescent="0.35">
      <c r="A7" s="4" t="s">
        <v>27</v>
      </c>
      <c r="B7" s="5">
        <v>45713</v>
      </c>
      <c r="C7" s="4" t="s">
        <v>20</v>
      </c>
      <c r="D7" s="4" t="s">
        <v>16</v>
      </c>
      <c r="E7" s="4" t="s">
        <v>17</v>
      </c>
      <c r="F7" s="4" t="s">
        <v>18</v>
      </c>
      <c r="G7" s="2">
        <v>15</v>
      </c>
      <c r="H7" s="2">
        <v>800</v>
      </c>
      <c r="I7" s="6">
        <v>0.05</v>
      </c>
      <c r="J7">
        <f t="shared" si="3"/>
        <v>12000</v>
      </c>
      <c r="K7" s="19">
        <f t="shared" si="0"/>
        <v>0.95</v>
      </c>
      <c r="L7">
        <f t="shared" si="1"/>
        <v>11400</v>
      </c>
      <c r="M7">
        <f t="shared" si="2"/>
        <v>11400</v>
      </c>
    </row>
    <row r="8" spans="1:16" ht="29" x14ac:dyDescent="0.35">
      <c r="A8" s="4" t="s">
        <v>28</v>
      </c>
      <c r="B8" s="5">
        <v>45723</v>
      </c>
      <c r="C8" s="4" t="s">
        <v>29</v>
      </c>
      <c r="D8" s="4" t="s">
        <v>21</v>
      </c>
      <c r="E8" s="4" t="s">
        <v>22</v>
      </c>
      <c r="F8" s="4" t="s">
        <v>18</v>
      </c>
      <c r="G8" s="2">
        <v>12</v>
      </c>
      <c r="H8" s="2">
        <v>1500</v>
      </c>
      <c r="I8" s="6">
        <v>0</v>
      </c>
      <c r="J8">
        <f t="shared" si="3"/>
        <v>18000</v>
      </c>
      <c r="K8" s="19">
        <f t="shared" si="0"/>
        <v>1</v>
      </c>
      <c r="L8">
        <f t="shared" si="1"/>
        <v>18000</v>
      </c>
      <c r="M8">
        <f t="shared" si="2"/>
        <v>18000</v>
      </c>
    </row>
    <row r="9" spans="1:16" ht="29" x14ac:dyDescent="0.35">
      <c r="A9" s="4" t="s">
        <v>30</v>
      </c>
      <c r="B9" s="5">
        <v>45734</v>
      </c>
      <c r="C9" s="4" t="s">
        <v>10</v>
      </c>
      <c r="D9" s="4" t="s">
        <v>24</v>
      </c>
      <c r="E9" s="4" t="s">
        <v>12</v>
      </c>
      <c r="F9" s="4" t="s">
        <v>13</v>
      </c>
      <c r="G9" s="2">
        <v>2</v>
      </c>
      <c r="H9" s="2">
        <v>55000</v>
      </c>
      <c r="I9" s="6">
        <v>0.1</v>
      </c>
      <c r="J9">
        <f t="shared" si="3"/>
        <v>110000</v>
      </c>
      <c r="K9" s="19">
        <f t="shared" si="0"/>
        <v>0.9</v>
      </c>
      <c r="L9">
        <f t="shared" si="1"/>
        <v>99000</v>
      </c>
      <c r="M9">
        <f t="shared" si="2"/>
        <v>99000</v>
      </c>
    </row>
    <row r="10" spans="1:16" ht="29" x14ac:dyDescent="0.35">
      <c r="A10" s="4" t="s">
        <v>31</v>
      </c>
      <c r="B10" s="5">
        <v>45745</v>
      </c>
      <c r="C10" s="4" t="s">
        <v>15</v>
      </c>
      <c r="D10" s="4" t="s">
        <v>11</v>
      </c>
      <c r="E10" s="4" t="s">
        <v>25</v>
      </c>
      <c r="F10" s="4" t="s">
        <v>13</v>
      </c>
      <c r="G10" s="2">
        <v>5</v>
      </c>
      <c r="H10" s="2">
        <v>18000</v>
      </c>
      <c r="I10" s="6">
        <v>0.05</v>
      </c>
      <c r="J10">
        <f t="shared" si="3"/>
        <v>90000</v>
      </c>
      <c r="K10" s="19">
        <f t="shared" si="0"/>
        <v>0.95</v>
      </c>
      <c r="L10">
        <f t="shared" si="1"/>
        <v>85500</v>
      </c>
      <c r="M10">
        <f t="shared" si="2"/>
        <v>85500</v>
      </c>
    </row>
    <row r="11" spans="1:16" ht="29" x14ac:dyDescent="0.35">
      <c r="A11" s="4" t="s">
        <v>32</v>
      </c>
      <c r="B11" s="5">
        <v>45753</v>
      </c>
      <c r="C11" s="4" t="s">
        <v>20</v>
      </c>
      <c r="D11" s="4" t="s">
        <v>16</v>
      </c>
      <c r="E11" s="4" t="s">
        <v>12</v>
      </c>
      <c r="F11" s="4" t="s">
        <v>13</v>
      </c>
      <c r="G11" s="2">
        <v>4</v>
      </c>
      <c r="H11" s="2">
        <v>55000</v>
      </c>
      <c r="I11" s="6">
        <v>0.05</v>
      </c>
      <c r="J11">
        <f t="shared" si="3"/>
        <v>220000</v>
      </c>
      <c r="K11" s="19">
        <f t="shared" si="0"/>
        <v>0.95</v>
      </c>
      <c r="L11">
        <f t="shared" si="1"/>
        <v>209000</v>
      </c>
      <c r="M11">
        <f t="shared" si="2"/>
        <v>209000</v>
      </c>
    </row>
    <row r="12" spans="1:16" ht="29" x14ac:dyDescent="0.35">
      <c r="A12" s="4" t="s">
        <v>33</v>
      </c>
      <c r="B12" s="5">
        <v>45764</v>
      </c>
      <c r="C12" s="4" t="s">
        <v>29</v>
      </c>
      <c r="D12" s="4" t="s">
        <v>21</v>
      </c>
      <c r="E12" s="4" t="s">
        <v>17</v>
      </c>
      <c r="F12" s="4" t="s">
        <v>18</v>
      </c>
      <c r="G12" s="2">
        <v>20</v>
      </c>
      <c r="H12" s="2">
        <v>800</v>
      </c>
      <c r="I12" s="6">
        <v>0</v>
      </c>
      <c r="J12">
        <f t="shared" si="3"/>
        <v>16000</v>
      </c>
      <c r="K12" s="19">
        <f t="shared" si="0"/>
        <v>1</v>
      </c>
      <c r="L12">
        <f t="shared" si="1"/>
        <v>16000</v>
      </c>
      <c r="M12">
        <f t="shared" si="2"/>
        <v>16000</v>
      </c>
    </row>
    <row r="13" spans="1:16" ht="29" x14ac:dyDescent="0.35">
      <c r="A13" s="4" t="s">
        <v>34</v>
      </c>
      <c r="B13" s="5">
        <v>45775</v>
      </c>
      <c r="C13" s="4" t="s">
        <v>10</v>
      </c>
      <c r="D13" s="4" t="s">
        <v>24</v>
      </c>
      <c r="E13" s="4" t="s">
        <v>22</v>
      </c>
      <c r="F13" s="4" t="s">
        <v>18</v>
      </c>
      <c r="G13" s="2">
        <v>10</v>
      </c>
      <c r="H13" s="2">
        <v>1500</v>
      </c>
      <c r="I13" s="6">
        <v>0.1</v>
      </c>
      <c r="J13">
        <f t="shared" si="3"/>
        <v>15000</v>
      </c>
      <c r="K13" s="19">
        <f t="shared" si="0"/>
        <v>0.9</v>
      </c>
      <c r="L13">
        <f t="shared" si="1"/>
        <v>13500</v>
      </c>
      <c r="M13">
        <f t="shared" si="2"/>
        <v>13500</v>
      </c>
    </row>
    <row r="14" spans="1:16" ht="29" x14ac:dyDescent="0.35">
      <c r="A14" s="4" t="s">
        <v>35</v>
      </c>
      <c r="B14" s="5">
        <v>45785</v>
      </c>
      <c r="C14" s="4" t="s">
        <v>15</v>
      </c>
      <c r="D14" s="4" t="s">
        <v>11</v>
      </c>
      <c r="E14" s="4" t="s">
        <v>25</v>
      </c>
      <c r="F14" s="4" t="s">
        <v>13</v>
      </c>
      <c r="G14" s="2">
        <v>6</v>
      </c>
      <c r="H14" s="2">
        <v>18000</v>
      </c>
      <c r="I14" s="6">
        <v>0.05</v>
      </c>
      <c r="J14">
        <f t="shared" si="3"/>
        <v>108000</v>
      </c>
      <c r="K14" s="19">
        <f t="shared" si="0"/>
        <v>0.95</v>
      </c>
      <c r="L14">
        <f t="shared" si="1"/>
        <v>102600</v>
      </c>
      <c r="M14">
        <f t="shared" si="2"/>
        <v>102600</v>
      </c>
    </row>
    <row r="15" spans="1:16" ht="29" x14ac:dyDescent="0.35">
      <c r="A15" s="4" t="s">
        <v>36</v>
      </c>
      <c r="B15" s="5">
        <v>45796</v>
      </c>
      <c r="C15" s="4" t="s">
        <v>20</v>
      </c>
      <c r="D15" s="4" t="s">
        <v>16</v>
      </c>
      <c r="E15" s="4" t="s">
        <v>12</v>
      </c>
      <c r="F15" s="4" t="s">
        <v>13</v>
      </c>
      <c r="G15" s="2">
        <v>2</v>
      </c>
      <c r="H15" s="2">
        <v>55000</v>
      </c>
      <c r="I15" s="6">
        <v>0.08</v>
      </c>
      <c r="J15">
        <f t="shared" si="3"/>
        <v>110000</v>
      </c>
      <c r="K15" s="19">
        <f t="shared" si="0"/>
        <v>0.92</v>
      </c>
      <c r="L15">
        <f t="shared" si="1"/>
        <v>101200</v>
      </c>
      <c r="M15">
        <f t="shared" si="2"/>
        <v>101200</v>
      </c>
    </row>
    <row r="16" spans="1:16" ht="29" x14ac:dyDescent="0.35">
      <c r="A16" s="4" t="s">
        <v>37</v>
      </c>
      <c r="B16" s="5">
        <v>45807</v>
      </c>
      <c r="C16" s="4" t="s">
        <v>29</v>
      </c>
      <c r="D16" s="4" t="s">
        <v>21</v>
      </c>
      <c r="E16" s="4" t="s">
        <v>17</v>
      </c>
      <c r="F16" s="4" t="s">
        <v>18</v>
      </c>
      <c r="G16" s="2">
        <v>25</v>
      </c>
      <c r="H16" s="2">
        <v>800</v>
      </c>
      <c r="I16" s="6">
        <v>0.05</v>
      </c>
      <c r="J16">
        <f t="shared" si="3"/>
        <v>20000</v>
      </c>
      <c r="K16" s="19">
        <f t="shared" si="0"/>
        <v>0.95</v>
      </c>
      <c r="L16">
        <f t="shared" si="1"/>
        <v>19000</v>
      </c>
      <c r="M16">
        <f t="shared" si="2"/>
        <v>19000</v>
      </c>
    </row>
    <row r="17" spans="1:13" ht="29" x14ac:dyDescent="0.35">
      <c r="A17" s="4" t="s">
        <v>38</v>
      </c>
      <c r="B17" s="5">
        <v>45817</v>
      </c>
      <c r="C17" s="4" t="s">
        <v>10</v>
      </c>
      <c r="D17" s="4" t="s">
        <v>24</v>
      </c>
      <c r="E17" s="4" t="s">
        <v>25</v>
      </c>
      <c r="F17" s="4" t="s">
        <v>13</v>
      </c>
      <c r="G17" s="2">
        <v>5</v>
      </c>
      <c r="H17" s="2">
        <v>18000</v>
      </c>
      <c r="I17" s="6">
        <v>0</v>
      </c>
      <c r="J17">
        <f t="shared" si="3"/>
        <v>90000</v>
      </c>
      <c r="K17" s="19">
        <f t="shared" si="0"/>
        <v>1</v>
      </c>
      <c r="L17">
        <f t="shared" si="1"/>
        <v>90000</v>
      </c>
      <c r="M17">
        <f t="shared" si="2"/>
        <v>90000</v>
      </c>
    </row>
    <row r="18" spans="1:13" ht="29" x14ac:dyDescent="0.35">
      <c r="A18" s="4" t="s">
        <v>39</v>
      </c>
      <c r="B18" s="5">
        <v>45829</v>
      </c>
      <c r="C18" s="4" t="s">
        <v>15</v>
      </c>
      <c r="D18" s="4" t="s">
        <v>11</v>
      </c>
      <c r="E18" s="4" t="s">
        <v>22</v>
      </c>
      <c r="F18" s="4" t="s">
        <v>18</v>
      </c>
      <c r="G18" s="2">
        <v>15</v>
      </c>
      <c r="H18" s="2">
        <v>1500</v>
      </c>
      <c r="I18" s="6">
        <v>0.1</v>
      </c>
      <c r="J18">
        <f t="shared" si="3"/>
        <v>22500</v>
      </c>
      <c r="K18" s="19">
        <f t="shared" si="0"/>
        <v>0.9</v>
      </c>
      <c r="L18">
        <f t="shared" si="1"/>
        <v>20250</v>
      </c>
      <c r="M18">
        <f t="shared" si="2"/>
        <v>20250</v>
      </c>
    </row>
    <row r="19" spans="1:13" ht="29" x14ac:dyDescent="0.35">
      <c r="A19" s="4" t="s">
        <v>40</v>
      </c>
      <c r="B19" s="5">
        <v>45837</v>
      </c>
      <c r="C19" s="4" t="s">
        <v>20</v>
      </c>
      <c r="D19" s="4" t="s">
        <v>16</v>
      </c>
      <c r="E19" s="4" t="s">
        <v>12</v>
      </c>
      <c r="F19" s="4" t="s">
        <v>13</v>
      </c>
      <c r="G19" s="2">
        <v>3</v>
      </c>
      <c r="H19" s="2">
        <v>55000</v>
      </c>
      <c r="I19" s="6">
        <v>0.05</v>
      </c>
      <c r="J19">
        <f t="shared" si="3"/>
        <v>165000</v>
      </c>
      <c r="K19" s="19">
        <f t="shared" si="0"/>
        <v>0.95</v>
      </c>
      <c r="L19">
        <f t="shared" si="1"/>
        <v>156750</v>
      </c>
      <c r="M19">
        <f t="shared" si="2"/>
        <v>156750</v>
      </c>
    </row>
    <row r="20" spans="1:13" ht="29" x14ac:dyDescent="0.35">
      <c r="A20" s="4" t="s">
        <v>41</v>
      </c>
      <c r="B20" s="5">
        <v>45845</v>
      </c>
      <c r="C20" s="4" t="s">
        <v>29</v>
      </c>
      <c r="D20" s="4" t="s">
        <v>21</v>
      </c>
      <c r="E20" s="4" t="s">
        <v>25</v>
      </c>
      <c r="F20" s="4" t="s">
        <v>13</v>
      </c>
      <c r="G20" s="2">
        <v>4</v>
      </c>
      <c r="H20" s="2">
        <v>18000</v>
      </c>
      <c r="I20" s="6">
        <v>0.05</v>
      </c>
      <c r="J20">
        <f t="shared" si="3"/>
        <v>72000</v>
      </c>
      <c r="K20" s="19">
        <f t="shared" si="0"/>
        <v>0.95</v>
      </c>
      <c r="L20">
        <f t="shared" si="1"/>
        <v>68400</v>
      </c>
      <c r="M20">
        <f t="shared" si="2"/>
        <v>68400</v>
      </c>
    </row>
    <row r="21" spans="1:13" ht="29" x14ac:dyDescent="0.35">
      <c r="A21" s="4" t="s">
        <v>42</v>
      </c>
      <c r="B21" s="5">
        <v>45856</v>
      </c>
      <c r="C21" s="4" t="s">
        <v>10</v>
      </c>
      <c r="D21" s="4" t="s">
        <v>24</v>
      </c>
      <c r="E21" s="4" t="s">
        <v>12</v>
      </c>
      <c r="F21" s="4" t="s">
        <v>13</v>
      </c>
      <c r="G21" s="2">
        <v>2</v>
      </c>
      <c r="H21" s="2">
        <v>55000</v>
      </c>
      <c r="I21" s="6">
        <v>0.1</v>
      </c>
      <c r="J21">
        <f t="shared" si="3"/>
        <v>110000</v>
      </c>
      <c r="K21" s="19">
        <f t="shared" si="0"/>
        <v>0.9</v>
      </c>
      <c r="L21">
        <f t="shared" si="1"/>
        <v>99000</v>
      </c>
      <c r="M21">
        <f t="shared" si="2"/>
        <v>99000</v>
      </c>
    </row>
    <row r="22" spans="1:13" ht="29" x14ac:dyDescent="0.35">
      <c r="A22" s="4" t="s">
        <v>43</v>
      </c>
      <c r="B22" s="5">
        <v>45864</v>
      </c>
      <c r="C22" s="4" t="s">
        <v>15</v>
      </c>
      <c r="D22" s="4" t="s">
        <v>11</v>
      </c>
      <c r="E22" s="4" t="s">
        <v>17</v>
      </c>
      <c r="F22" s="4" t="s">
        <v>18</v>
      </c>
      <c r="G22" s="2">
        <v>30</v>
      </c>
      <c r="H22" s="2">
        <v>800</v>
      </c>
      <c r="I22" s="6">
        <v>0</v>
      </c>
      <c r="J22">
        <f t="shared" si="3"/>
        <v>24000</v>
      </c>
      <c r="K22" s="19">
        <f t="shared" si="0"/>
        <v>1</v>
      </c>
      <c r="L22">
        <f t="shared" si="1"/>
        <v>24000</v>
      </c>
      <c r="M22">
        <f t="shared" si="2"/>
        <v>24000</v>
      </c>
    </row>
    <row r="23" spans="1:13" ht="29" x14ac:dyDescent="0.35">
      <c r="A23" s="4" t="s">
        <v>44</v>
      </c>
      <c r="B23" s="5">
        <v>45874</v>
      </c>
      <c r="C23" s="4" t="s">
        <v>20</v>
      </c>
      <c r="D23" s="4" t="s">
        <v>16</v>
      </c>
      <c r="E23" s="4" t="s">
        <v>22</v>
      </c>
      <c r="F23" s="4" t="s">
        <v>18</v>
      </c>
      <c r="G23" s="2">
        <v>18</v>
      </c>
      <c r="H23" s="2">
        <v>1500</v>
      </c>
      <c r="I23" s="6">
        <v>0.05</v>
      </c>
      <c r="J23">
        <f t="shared" si="3"/>
        <v>27000</v>
      </c>
      <c r="K23" s="19">
        <f t="shared" si="0"/>
        <v>0.95</v>
      </c>
      <c r="L23">
        <f t="shared" si="1"/>
        <v>25650</v>
      </c>
      <c r="M23">
        <f t="shared" si="2"/>
        <v>25650</v>
      </c>
    </row>
    <row r="24" spans="1:13" ht="29" x14ac:dyDescent="0.35">
      <c r="A24" s="4" t="s">
        <v>45</v>
      </c>
      <c r="B24" s="5">
        <v>45885</v>
      </c>
      <c r="C24" s="4" t="s">
        <v>29</v>
      </c>
      <c r="D24" s="4" t="s">
        <v>21</v>
      </c>
      <c r="E24" s="4" t="s">
        <v>12</v>
      </c>
      <c r="F24" s="4" t="s">
        <v>13</v>
      </c>
      <c r="G24" s="2">
        <v>3</v>
      </c>
      <c r="H24" s="2">
        <v>55000</v>
      </c>
      <c r="I24" s="6">
        <v>0.08</v>
      </c>
      <c r="J24">
        <f t="shared" si="3"/>
        <v>165000</v>
      </c>
      <c r="K24" s="19">
        <f t="shared" si="0"/>
        <v>0.92</v>
      </c>
      <c r="L24">
        <f t="shared" si="1"/>
        <v>151800</v>
      </c>
      <c r="M24">
        <f t="shared" si="2"/>
        <v>151800</v>
      </c>
    </row>
    <row r="25" spans="1:13" ht="29" x14ac:dyDescent="0.35">
      <c r="A25" s="4" t="s">
        <v>46</v>
      </c>
      <c r="B25" s="5">
        <v>45896</v>
      </c>
      <c r="C25" s="4" t="s">
        <v>10</v>
      </c>
      <c r="D25" s="4" t="s">
        <v>24</v>
      </c>
      <c r="E25" s="4" t="s">
        <v>25</v>
      </c>
      <c r="F25" s="4" t="s">
        <v>13</v>
      </c>
      <c r="G25" s="2">
        <v>6</v>
      </c>
      <c r="H25" s="2">
        <v>18000</v>
      </c>
      <c r="I25" s="6">
        <v>0.05</v>
      </c>
      <c r="J25">
        <f t="shared" si="3"/>
        <v>108000</v>
      </c>
      <c r="K25" s="19">
        <f t="shared" si="0"/>
        <v>0.95</v>
      </c>
      <c r="L25">
        <f t="shared" si="1"/>
        <v>102600</v>
      </c>
      <c r="M25">
        <f t="shared" si="2"/>
        <v>102600</v>
      </c>
    </row>
    <row r="26" spans="1:13" ht="29" x14ac:dyDescent="0.35">
      <c r="A26" s="4" t="s">
        <v>47</v>
      </c>
      <c r="B26" s="5">
        <v>45908</v>
      </c>
      <c r="C26" s="4" t="s">
        <v>15</v>
      </c>
      <c r="D26" s="4" t="s">
        <v>11</v>
      </c>
      <c r="E26" s="4" t="s">
        <v>12</v>
      </c>
      <c r="F26" s="4" t="s">
        <v>13</v>
      </c>
      <c r="G26" s="2">
        <v>4</v>
      </c>
      <c r="H26" s="2">
        <v>55000</v>
      </c>
      <c r="I26" s="6">
        <v>0.1</v>
      </c>
      <c r="J26">
        <f t="shared" si="3"/>
        <v>220000</v>
      </c>
      <c r="K26" s="19">
        <f t="shared" si="0"/>
        <v>0.9</v>
      </c>
      <c r="L26">
        <f t="shared" si="1"/>
        <v>198000</v>
      </c>
      <c r="M26">
        <f t="shared" si="2"/>
        <v>198000</v>
      </c>
    </row>
    <row r="27" spans="1:13" ht="29" x14ac:dyDescent="0.35">
      <c r="A27" s="4" t="s">
        <v>48</v>
      </c>
      <c r="B27" s="5">
        <v>45919</v>
      </c>
      <c r="C27" s="4" t="s">
        <v>20</v>
      </c>
      <c r="D27" s="4" t="s">
        <v>16</v>
      </c>
      <c r="E27" s="4" t="s">
        <v>17</v>
      </c>
      <c r="F27" s="4" t="s">
        <v>18</v>
      </c>
      <c r="G27" s="2">
        <v>35</v>
      </c>
      <c r="H27" s="2">
        <v>800</v>
      </c>
      <c r="I27" s="6">
        <v>0.05</v>
      </c>
      <c r="J27">
        <f t="shared" si="3"/>
        <v>28000</v>
      </c>
      <c r="K27" s="19">
        <f t="shared" si="0"/>
        <v>0.95</v>
      </c>
      <c r="L27">
        <f t="shared" si="1"/>
        <v>26600</v>
      </c>
      <c r="M27">
        <f t="shared" si="2"/>
        <v>26600</v>
      </c>
    </row>
    <row r="28" spans="1:13" ht="29" x14ac:dyDescent="0.35">
      <c r="A28" s="4" t="s">
        <v>49</v>
      </c>
      <c r="B28" s="5">
        <v>45930</v>
      </c>
      <c r="C28" s="4" t="s">
        <v>29</v>
      </c>
      <c r="D28" s="4" t="s">
        <v>21</v>
      </c>
      <c r="E28" s="4" t="s">
        <v>22</v>
      </c>
      <c r="F28" s="4" t="s">
        <v>18</v>
      </c>
      <c r="G28" s="2">
        <v>20</v>
      </c>
      <c r="H28" s="2">
        <v>1500</v>
      </c>
      <c r="I28" s="6">
        <v>0</v>
      </c>
      <c r="J28">
        <f t="shared" si="3"/>
        <v>30000</v>
      </c>
      <c r="K28" s="19">
        <f t="shared" si="0"/>
        <v>1</v>
      </c>
      <c r="L28">
        <f t="shared" si="1"/>
        <v>30000</v>
      </c>
      <c r="M28">
        <f t="shared" si="2"/>
        <v>30000</v>
      </c>
    </row>
    <row r="29" spans="1:13" ht="29" x14ac:dyDescent="0.35">
      <c r="A29" s="4" t="s">
        <v>50</v>
      </c>
      <c r="B29" s="5">
        <v>45940</v>
      </c>
      <c r="C29" s="4" t="s">
        <v>10</v>
      </c>
      <c r="D29" s="4" t="s">
        <v>24</v>
      </c>
      <c r="E29" s="4" t="s">
        <v>25</v>
      </c>
      <c r="F29" s="4" t="s">
        <v>13</v>
      </c>
      <c r="G29" s="2">
        <v>7</v>
      </c>
      <c r="H29" s="2">
        <v>18000</v>
      </c>
      <c r="I29" s="6">
        <v>0.05</v>
      </c>
      <c r="J29">
        <f t="shared" si="3"/>
        <v>126000</v>
      </c>
      <c r="K29" s="19">
        <f t="shared" si="0"/>
        <v>0.95</v>
      </c>
      <c r="L29">
        <f t="shared" si="1"/>
        <v>119700</v>
      </c>
      <c r="M29">
        <f t="shared" si="2"/>
        <v>119700</v>
      </c>
    </row>
    <row r="30" spans="1:13" ht="29" x14ac:dyDescent="0.35">
      <c r="A30" s="4" t="s">
        <v>51</v>
      </c>
      <c r="B30" s="5">
        <v>45951</v>
      </c>
      <c r="C30" s="4" t="s">
        <v>15</v>
      </c>
      <c r="D30" s="4" t="s">
        <v>11</v>
      </c>
      <c r="E30" s="4" t="s">
        <v>12</v>
      </c>
      <c r="F30" s="4" t="s">
        <v>13</v>
      </c>
      <c r="G30" s="2">
        <v>3</v>
      </c>
      <c r="H30" s="2">
        <v>55000</v>
      </c>
      <c r="I30" s="6">
        <v>0.08</v>
      </c>
      <c r="J30">
        <f t="shared" si="3"/>
        <v>165000</v>
      </c>
      <c r="K30" s="19">
        <f t="shared" si="0"/>
        <v>0.92</v>
      </c>
      <c r="L30">
        <f t="shared" si="1"/>
        <v>151800</v>
      </c>
      <c r="M30">
        <f t="shared" si="2"/>
        <v>151800</v>
      </c>
    </row>
    <row r="31" spans="1:13" ht="29" x14ac:dyDescent="0.35">
      <c r="A31" s="4" t="s">
        <v>52</v>
      </c>
      <c r="B31" s="5">
        <v>45963</v>
      </c>
      <c r="C31" s="4" t="s">
        <v>20</v>
      </c>
      <c r="D31" s="4" t="s">
        <v>16</v>
      </c>
      <c r="E31" s="4" t="s">
        <v>17</v>
      </c>
      <c r="F31" s="4" t="s">
        <v>18</v>
      </c>
      <c r="G31" s="2">
        <v>40</v>
      </c>
      <c r="H31" s="2">
        <v>800</v>
      </c>
      <c r="I31" s="6">
        <v>0</v>
      </c>
      <c r="J31">
        <f t="shared" si="3"/>
        <v>32000</v>
      </c>
      <c r="K31" s="19">
        <f t="shared" si="0"/>
        <v>1</v>
      </c>
      <c r="L31">
        <f t="shared" si="1"/>
        <v>32000</v>
      </c>
      <c r="M31">
        <f t="shared" si="2"/>
        <v>32000</v>
      </c>
    </row>
    <row r="32" spans="1:13" ht="29" x14ac:dyDescent="0.35">
      <c r="A32" s="4" t="s">
        <v>53</v>
      </c>
      <c r="B32" s="5">
        <v>45975</v>
      </c>
      <c r="C32" s="4" t="s">
        <v>29</v>
      </c>
      <c r="D32" s="4" t="s">
        <v>21</v>
      </c>
      <c r="E32" s="4" t="s">
        <v>12</v>
      </c>
      <c r="F32" s="4" t="s">
        <v>13</v>
      </c>
      <c r="G32" s="2">
        <v>2</v>
      </c>
      <c r="H32" s="2">
        <v>55000</v>
      </c>
      <c r="I32" s="6">
        <v>0.05</v>
      </c>
      <c r="J32">
        <f t="shared" si="3"/>
        <v>110000</v>
      </c>
      <c r="K32" s="19">
        <f t="shared" si="0"/>
        <v>0.95</v>
      </c>
      <c r="L32">
        <f t="shared" si="1"/>
        <v>104500</v>
      </c>
      <c r="M32">
        <f t="shared" si="2"/>
        <v>104500</v>
      </c>
    </row>
    <row r="33" spans="1:13" ht="29" x14ac:dyDescent="0.35">
      <c r="A33" s="4" t="s">
        <v>54</v>
      </c>
      <c r="B33" s="5">
        <v>45986</v>
      </c>
      <c r="C33" s="4" t="s">
        <v>10</v>
      </c>
      <c r="D33" s="4" t="s">
        <v>24</v>
      </c>
      <c r="E33" s="4" t="s">
        <v>22</v>
      </c>
      <c r="F33" s="4" t="s">
        <v>18</v>
      </c>
      <c r="G33" s="2">
        <v>22</v>
      </c>
      <c r="H33" s="2">
        <v>1500</v>
      </c>
      <c r="I33" s="6">
        <v>0.1</v>
      </c>
      <c r="J33">
        <f t="shared" si="3"/>
        <v>33000</v>
      </c>
      <c r="K33" s="19">
        <f t="shared" si="0"/>
        <v>0.9</v>
      </c>
      <c r="L33">
        <f t="shared" si="1"/>
        <v>29700</v>
      </c>
      <c r="M33">
        <f t="shared" si="2"/>
        <v>29700</v>
      </c>
    </row>
    <row r="34" spans="1:13" ht="29" x14ac:dyDescent="0.35">
      <c r="A34" s="4" t="s">
        <v>55</v>
      </c>
      <c r="B34" s="5">
        <v>45996</v>
      </c>
      <c r="C34" s="4" t="s">
        <v>15</v>
      </c>
      <c r="D34" s="4" t="s">
        <v>11</v>
      </c>
      <c r="E34" s="4" t="s">
        <v>25</v>
      </c>
      <c r="F34" s="4" t="s">
        <v>13</v>
      </c>
      <c r="G34" s="2">
        <v>8</v>
      </c>
      <c r="H34" s="2">
        <v>18000</v>
      </c>
      <c r="I34" s="6">
        <v>0.05</v>
      </c>
      <c r="J34">
        <f t="shared" si="3"/>
        <v>144000</v>
      </c>
      <c r="K34" s="19">
        <f t="shared" si="0"/>
        <v>0.95</v>
      </c>
      <c r="L34">
        <f t="shared" si="1"/>
        <v>136800</v>
      </c>
      <c r="M34">
        <f t="shared" si="2"/>
        <v>136800</v>
      </c>
    </row>
    <row r="35" spans="1:13" ht="29" x14ac:dyDescent="0.35">
      <c r="A35" s="4" t="s">
        <v>56</v>
      </c>
      <c r="B35" s="5">
        <v>46007</v>
      </c>
      <c r="C35" s="4" t="s">
        <v>20</v>
      </c>
      <c r="D35" s="4" t="s">
        <v>16</v>
      </c>
      <c r="E35" s="4" t="s">
        <v>12</v>
      </c>
      <c r="F35" s="4" t="s">
        <v>13</v>
      </c>
      <c r="G35" s="2">
        <v>4</v>
      </c>
      <c r="H35" s="2">
        <v>55000</v>
      </c>
      <c r="I35" s="6">
        <v>0.08</v>
      </c>
      <c r="J35">
        <f t="shared" si="3"/>
        <v>220000</v>
      </c>
      <c r="K35" s="19">
        <f t="shared" si="0"/>
        <v>0.92</v>
      </c>
      <c r="L35">
        <f t="shared" si="1"/>
        <v>202400</v>
      </c>
      <c r="M35">
        <f t="shared" si="2"/>
        <v>202400</v>
      </c>
    </row>
    <row r="36" spans="1:13" ht="29" x14ac:dyDescent="0.35">
      <c r="A36" s="4" t="s">
        <v>57</v>
      </c>
      <c r="B36" s="5">
        <v>46018</v>
      </c>
      <c r="C36" s="4" t="s">
        <v>29</v>
      </c>
      <c r="D36" s="4" t="s">
        <v>21</v>
      </c>
      <c r="E36" s="4" t="s">
        <v>17</v>
      </c>
      <c r="F36" s="4" t="s">
        <v>18</v>
      </c>
      <c r="G36" s="2">
        <v>45</v>
      </c>
      <c r="H36" s="2">
        <v>800</v>
      </c>
      <c r="I36" s="6">
        <v>0.05</v>
      </c>
      <c r="J36">
        <f t="shared" si="3"/>
        <v>36000</v>
      </c>
      <c r="K36" s="19">
        <f t="shared" si="0"/>
        <v>0.95</v>
      </c>
      <c r="L36">
        <f t="shared" si="1"/>
        <v>34200</v>
      </c>
      <c r="M36">
        <f t="shared" si="2"/>
        <v>34200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60800-86B2-43E4-B7FC-A74AD74D6D8D}">
  <dimension ref="A1:H11"/>
  <sheetViews>
    <sheetView workbookViewId="0">
      <selection activeCell="H11" sqref="H11"/>
    </sheetView>
  </sheetViews>
  <sheetFormatPr defaultRowHeight="14.5" x14ac:dyDescent="0.35"/>
  <sheetData>
    <row r="1" spans="1:8" x14ac:dyDescent="0.35">
      <c r="A1" t="s">
        <v>84</v>
      </c>
      <c r="B1" t="s">
        <v>85</v>
      </c>
    </row>
    <row r="2" spans="1:8" x14ac:dyDescent="0.35">
      <c r="A2">
        <v>1</v>
      </c>
      <c r="B2">
        <v>22</v>
      </c>
      <c r="G2" t="s">
        <v>89</v>
      </c>
      <c r="H2" t="s">
        <v>90</v>
      </c>
    </row>
    <row r="3" spans="1:8" x14ac:dyDescent="0.35">
      <c r="A3">
        <v>2</v>
      </c>
      <c r="B3">
        <v>23</v>
      </c>
      <c r="D3" t="s">
        <v>86</v>
      </c>
      <c r="G3">
        <v>1</v>
      </c>
      <c r="H3">
        <v>500</v>
      </c>
    </row>
    <row r="4" spans="1:8" x14ac:dyDescent="0.35">
      <c r="A4">
        <v>3</v>
      </c>
      <c r="B4">
        <v>24</v>
      </c>
      <c r="D4" t="s">
        <v>87</v>
      </c>
      <c r="G4">
        <v>3</v>
      </c>
      <c r="H4">
        <v>900</v>
      </c>
    </row>
    <row r="5" spans="1:8" x14ac:dyDescent="0.35">
      <c r="A5">
        <v>4</v>
      </c>
      <c r="B5">
        <v>22</v>
      </c>
      <c r="D5" t="s">
        <v>88</v>
      </c>
      <c r="G5">
        <v>5</v>
      </c>
      <c r="H5">
        <v>500</v>
      </c>
    </row>
    <row r="6" spans="1:8" x14ac:dyDescent="0.35">
      <c r="A6">
        <v>5</v>
      </c>
      <c r="B6">
        <v>23</v>
      </c>
      <c r="G6">
        <v>7</v>
      </c>
      <c r="H6">
        <v>1200</v>
      </c>
    </row>
    <row r="7" spans="1:8" x14ac:dyDescent="0.35">
      <c r="A7">
        <v>6</v>
      </c>
      <c r="B7">
        <v>23</v>
      </c>
      <c r="G7">
        <v>9</v>
      </c>
      <c r="H7">
        <v>800</v>
      </c>
    </row>
    <row r="8" spans="1:8" x14ac:dyDescent="0.35">
      <c r="A8">
        <v>7</v>
      </c>
      <c r="B8">
        <v>25</v>
      </c>
      <c r="G8">
        <v>11</v>
      </c>
      <c r="H8">
        <v>15000</v>
      </c>
    </row>
    <row r="9" spans="1:8" x14ac:dyDescent="0.35">
      <c r="G9" t="s">
        <v>91</v>
      </c>
      <c r="H9">
        <f>AVERAGE(H3:H8)</f>
        <v>3150</v>
      </c>
    </row>
    <row r="10" spans="1:8" x14ac:dyDescent="0.35">
      <c r="B10">
        <f>MODE(B2:B8)</f>
        <v>23</v>
      </c>
      <c r="G10" t="s">
        <v>92</v>
      </c>
      <c r="H10">
        <f>MEDIAN(H3:H8)</f>
        <v>850</v>
      </c>
    </row>
    <row r="11" spans="1:8" x14ac:dyDescent="0.35">
      <c r="G11" t="s">
        <v>93</v>
      </c>
      <c r="H11">
        <f>MODE(H3:H8)</f>
        <v>500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06F7C-9A22-4430-B934-8C266FAE08A7}">
  <dimension ref="A3:G8"/>
  <sheetViews>
    <sheetView workbookViewId="0">
      <selection activeCell="G3" sqref="G3:G8"/>
    </sheetView>
  </sheetViews>
  <sheetFormatPr defaultRowHeight="14.5" x14ac:dyDescent="0.35"/>
  <cols>
    <col min="1" max="1" width="12.453125" bestFit="1" customWidth="1"/>
    <col min="2" max="2" width="11.54296875" bestFit="1" customWidth="1"/>
  </cols>
  <sheetData>
    <row r="3" spans="1:7" x14ac:dyDescent="0.35">
      <c r="A3" s="16" t="s">
        <v>58</v>
      </c>
      <c r="B3" t="s">
        <v>147</v>
      </c>
      <c r="G3" t="s">
        <v>149</v>
      </c>
    </row>
    <row r="4" spans="1:7" x14ac:dyDescent="0.35">
      <c r="A4" s="17" t="s">
        <v>15</v>
      </c>
      <c r="B4" s="18">
        <v>1032000</v>
      </c>
      <c r="G4" t="s">
        <v>148</v>
      </c>
    </row>
    <row r="5" spans="1:7" x14ac:dyDescent="0.35">
      <c r="A5" s="17" t="s">
        <v>59</v>
      </c>
      <c r="B5" s="18">
        <v>1032000</v>
      </c>
    </row>
    <row r="6" spans="1:7" x14ac:dyDescent="0.35">
      <c r="G6" t="s">
        <v>150</v>
      </c>
    </row>
    <row r="7" spans="1:7" x14ac:dyDescent="0.35">
      <c r="G7" t="s">
        <v>151</v>
      </c>
    </row>
    <row r="8" spans="1:7" x14ac:dyDescent="0.35">
      <c r="G8" t="s">
        <v>152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DF6D7-40BD-4B40-988B-A56A3B561D79}">
  <dimension ref="A1"/>
  <sheetViews>
    <sheetView workbookViewId="0"/>
  </sheetViews>
  <sheetFormatPr defaultRowHeight="14.5" x14ac:dyDescent="0.3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DC19E-80A8-4EB4-9FB9-EBF9B7735FBD}">
  <dimension ref="A1:N25"/>
  <sheetViews>
    <sheetView topLeftCell="O1" zoomScale="61" workbookViewId="0">
      <selection activeCell="Y8" sqref="Y8"/>
    </sheetView>
  </sheetViews>
  <sheetFormatPr defaultRowHeight="14.5" x14ac:dyDescent="0.35"/>
  <sheetData>
    <row r="1" spans="1:14" x14ac:dyDescent="0.35">
      <c r="A1" s="17" t="s">
        <v>60</v>
      </c>
      <c r="B1" s="18">
        <v>448000</v>
      </c>
    </row>
    <row r="2" spans="1:14" x14ac:dyDescent="0.35">
      <c r="A2" s="17" t="s">
        <v>61</v>
      </c>
      <c r="B2" s="18">
        <v>288000</v>
      </c>
      <c r="M2" s="17" t="s">
        <v>69</v>
      </c>
      <c r="N2" s="18">
        <v>130000</v>
      </c>
    </row>
    <row r="3" spans="1:14" x14ac:dyDescent="0.35">
      <c r="A3" s="17" t="s">
        <v>62</v>
      </c>
      <c r="B3" s="18">
        <v>302000</v>
      </c>
      <c r="M3" s="17" t="s">
        <v>70</v>
      </c>
      <c r="N3" s="18">
        <v>174000</v>
      </c>
    </row>
    <row r="4" spans="1:14" x14ac:dyDescent="0.35">
      <c r="A4" s="17" t="s">
        <v>63</v>
      </c>
      <c r="B4" s="18">
        <v>366000</v>
      </c>
      <c r="M4" s="17" t="s">
        <v>71</v>
      </c>
      <c r="N4" s="18">
        <v>144000</v>
      </c>
    </row>
    <row r="5" spans="1:14" x14ac:dyDescent="0.35">
      <c r="A5" s="17" t="s">
        <v>64</v>
      </c>
      <c r="B5" s="18">
        <v>374000</v>
      </c>
      <c r="M5" s="17" t="s">
        <v>72</v>
      </c>
      <c r="N5" s="18">
        <v>68000</v>
      </c>
    </row>
    <row r="6" spans="1:14" x14ac:dyDescent="0.35">
      <c r="A6" s="17" t="s">
        <v>65</v>
      </c>
      <c r="B6" s="18">
        <v>288000</v>
      </c>
      <c r="M6" s="17" t="s">
        <v>73</v>
      </c>
      <c r="N6" s="18">
        <v>90000</v>
      </c>
    </row>
    <row r="7" spans="1:14" x14ac:dyDescent="0.35">
      <c r="A7" s="17" t="s">
        <v>66</v>
      </c>
      <c r="B7" s="18">
        <v>563000</v>
      </c>
      <c r="M7" s="17" t="s">
        <v>74</v>
      </c>
      <c r="N7" s="18">
        <v>130000</v>
      </c>
    </row>
    <row r="8" spans="1:14" x14ac:dyDescent="0.35">
      <c r="A8" s="17" t="s">
        <v>67</v>
      </c>
      <c r="B8" s="18">
        <v>352000</v>
      </c>
      <c r="M8" s="17" t="s">
        <v>153</v>
      </c>
      <c r="N8" s="18">
        <v>186000</v>
      </c>
    </row>
    <row r="9" spans="1:14" x14ac:dyDescent="0.35">
      <c r="A9" s="17" t="s">
        <v>68</v>
      </c>
      <c r="B9" s="18">
        <v>298000</v>
      </c>
      <c r="M9" s="17" t="s">
        <v>75</v>
      </c>
      <c r="N9" s="18">
        <v>116000</v>
      </c>
    </row>
    <row r="10" spans="1:14" x14ac:dyDescent="0.35">
      <c r="M10" s="17" t="s">
        <v>154</v>
      </c>
      <c r="N10" s="18">
        <v>128000</v>
      </c>
    </row>
    <row r="11" spans="1:14" x14ac:dyDescent="0.35">
      <c r="M11" s="17" t="s">
        <v>155</v>
      </c>
      <c r="N11" s="18">
        <v>108000</v>
      </c>
    </row>
    <row r="12" spans="1:14" x14ac:dyDescent="0.35">
      <c r="M12" s="17" t="s">
        <v>156</v>
      </c>
      <c r="N12" s="18">
        <v>130000</v>
      </c>
    </row>
    <row r="13" spans="1:14" x14ac:dyDescent="0.35">
      <c r="M13" s="17" t="s">
        <v>76</v>
      </c>
      <c r="N13" s="18">
        <v>136000</v>
      </c>
    </row>
    <row r="14" spans="1:14" x14ac:dyDescent="0.35">
      <c r="M14" s="17" t="s">
        <v>77</v>
      </c>
      <c r="N14" s="18">
        <v>174000</v>
      </c>
    </row>
    <row r="15" spans="1:14" x14ac:dyDescent="0.35">
      <c r="M15" s="17" t="s">
        <v>78</v>
      </c>
      <c r="N15" s="18">
        <v>64000</v>
      </c>
    </row>
    <row r="16" spans="1:14" x14ac:dyDescent="0.35">
      <c r="M16" s="17" t="s">
        <v>157</v>
      </c>
      <c r="N16" s="18">
        <v>216000</v>
      </c>
    </row>
    <row r="17" spans="13:14" x14ac:dyDescent="0.35">
      <c r="M17" s="17" t="s">
        <v>158</v>
      </c>
      <c r="N17" s="18">
        <v>72000</v>
      </c>
    </row>
    <row r="18" spans="13:14" x14ac:dyDescent="0.35">
      <c r="M18" s="17" t="s">
        <v>159</v>
      </c>
      <c r="N18" s="18">
        <v>195000</v>
      </c>
    </row>
    <row r="19" spans="13:14" x14ac:dyDescent="0.35">
      <c r="M19" s="17" t="s">
        <v>160</v>
      </c>
      <c r="N19" s="18">
        <v>136000</v>
      </c>
    </row>
    <row r="20" spans="13:14" x14ac:dyDescent="0.35">
      <c r="M20" s="17" t="s">
        <v>161</v>
      </c>
      <c r="N20" s="18">
        <v>232000</v>
      </c>
    </row>
    <row r="21" spans="13:14" x14ac:dyDescent="0.35">
      <c r="M21" s="17" t="s">
        <v>162</v>
      </c>
      <c r="N21" s="18">
        <v>96000</v>
      </c>
    </row>
    <row r="22" spans="13:14" x14ac:dyDescent="0.35">
      <c r="M22" s="17" t="s">
        <v>163</v>
      </c>
      <c r="N22" s="18">
        <v>126000</v>
      </c>
    </row>
    <row r="23" spans="13:14" x14ac:dyDescent="0.35">
      <c r="M23" s="17" t="s">
        <v>164</v>
      </c>
      <c r="N23" s="18">
        <v>130000</v>
      </c>
    </row>
    <row r="24" spans="13:14" x14ac:dyDescent="0.35">
      <c r="M24" s="17" t="s">
        <v>165</v>
      </c>
      <c r="N24" s="18">
        <v>124000</v>
      </c>
    </row>
    <row r="25" spans="13:14" x14ac:dyDescent="0.35">
      <c r="M25" s="17" t="s">
        <v>166</v>
      </c>
      <c r="N25" s="18">
        <v>174000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347A4-3E7F-4FD0-8AC8-8076291B0F43}">
  <dimension ref="A3:B5"/>
  <sheetViews>
    <sheetView topLeftCell="J1" workbookViewId="0">
      <selection activeCell="F10" sqref="F10"/>
    </sheetView>
  </sheetViews>
  <sheetFormatPr defaultRowHeight="14.5" x14ac:dyDescent="0.35"/>
  <cols>
    <col min="1" max="1" width="12.453125" bestFit="1" customWidth="1"/>
    <col min="2" max="2" width="11.54296875" bestFit="1" customWidth="1"/>
  </cols>
  <sheetData>
    <row r="3" spans="1:2" x14ac:dyDescent="0.35">
      <c r="A3" s="16" t="s">
        <v>58</v>
      </c>
      <c r="B3" t="s">
        <v>147</v>
      </c>
    </row>
    <row r="4" spans="1:2" x14ac:dyDescent="0.35">
      <c r="A4" s="17" t="s">
        <v>105</v>
      </c>
      <c r="B4" s="18">
        <v>1032000</v>
      </c>
    </row>
    <row r="5" spans="1:2" x14ac:dyDescent="0.35">
      <c r="A5" s="17" t="s">
        <v>59</v>
      </c>
      <c r="B5" s="18">
        <v>1032000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20CE0-6DBC-4FA7-904D-D68BC7FD4536}">
  <dimension ref="A3:G20"/>
  <sheetViews>
    <sheetView tabSelected="1" workbookViewId="0">
      <selection activeCell="A3" sqref="A3"/>
    </sheetView>
  </sheetViews>
  <sheetFormatPr defaultRowHeight="14.5" x14ac:dyDescent="0.35"/>
  <cols>
    <col min="1" max="2" width="11.54296875" bestFit="1" customWidth="1"/>
  </cols>
  <sheetData>
    <row r="3" spans="1:7" x14ac:dyDescent="0.35">
      <c r="A3" s="7"/>
      <c r="B3" s="8"/>
      <c r="C3" s="9"/>
    </row>
    <row r="4" spans="1:7" x14ac:dyDescent="0.35">
      <c r="A4" s="10"/>
      <c r="B4" s="11"/>
      <c r="C4" s="12"/>
      <c r="G4" t="s">
        <v>149</v>
      </c>
    </row>
    <row r="5" spans="1:7" x14ac:dyDescent="0.35">
      <c r="A5" s="10"/>
      <c r="B5" s="11"/>
      <c r="C5" s="12"/>
      <c r="G5" t="s">
        <v>148</v>
      </c>
    </row>
    <row r="6" spans="1:7" x14ac:dyDescent="0.35">
      <c r="A6" s="10"/>
      <c r="B6" s="11"/>
      <c r="C6" s="12"/>
    </row>
    <row r="7" spans="1:7" x14ac:dyDescent="0.35">
      <c r="A7" s="10"/>
      <c r="B7" s="11"/>
      <c r="C7" s="12"/>
      <c r="G7" t="s">
        <v>150</v>
      </c>
    </row>
    <row r="8" spans="1:7" x14ac:dyDescent="0.35">
      <c r="A8" s="10"/>
      <c r="B8" s="11"/>
      <c r="C8" s="12"/>
      <c r="G8" t="s">
        <v>151</v>
      </c>
    </row>
    <row r="9" spans="1:7" x14ac:dyDescent="0.35">
      <c r="A9" s="10"/>
      <c r="B9" s="11"/>
      <c r="C9" s="12"/>
      <c r="G9" t="s">
        <v>152</v>
      </c>
    </row>
    <row r="10" spans="1:7" x14ac:dyDescent="0.35">
      <c r="A10" s="10"/>
      <c r="B10" s="11"/>
      <c r="C10" s="12"/>
    </row>
    <row r="11" spans="1:7" x14ac:dyDescent="0.35">
      <c r="A11" s="10"/>
      <c r="B11" s="11"/>
      <c r="C11" s="12"/>
    </row>
    <row r="12" spans="1:7" x14ac:dyDescent="0.35">
      <c r="A12" s="10"/>
      <c r="B12" s="11"/>
      <c r="C12" s="12"/>
    </row>
    <row r="13" spans="1:7" x14ac:dyDescent="0.35">
      <c r="A13" s="10"/>
      <c r="B13" s="11"/>
      <c r="C13" s="12"/>
    </row>
    <row r="14" spans="1:7" x14ac:dyDescent="0.35">
      <c r="A14" s="10"/>
      <c r="B14" s="11"/>
      <c r="C14" s="12"/>
    </row>
    <row r="15" spans="1:7" x14ac:dyDescent="0.35">
      <c r="A15" s="10"/>
      <c r="B15" s="11"/>
      <c r="C15" s="12"/>
    </row>
    <row r="16" spans="1:7" x14ac:dyDescent="0.35">
      <c r="A16" s="10"/>
      <c r="B16" s="11"/>
      <c r="C16" s="12"/>
    </row>
    <row r="17" spans="1:3" x14ac:dyDescent="0.35">
      <c r="A17" s="10"/>
      <c r="B17" s="11"/>
      <c r="C17" s="12"/>
    </row>
    <row r="18" spans="1:3" x14ac:dyDescent="0.35">
      <c r="A18" s="10"/>
      <c r="B18" s="11"/>
      <c r="C18" s="12"/>
    </row>
    <row r="19" spans="1:3" x14ac:dyDescent="0.35">
      <c r="A19" s="10"/>
      <c r="B19" s="11"/>
      <c r="C19" s="12"/>
    </row>
    <row r="20" spans="1:3" x14ac:dyDescent="0.35">
      <c r="A20" s="13"/>
      <c r="B20" s="14"/>
      <c r="C20" s="15"/>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7A29E-AD3D-4A65-A5D1-47CDE797A43F}">
  <dimension ref="A1:M25"/>
  <sheetViews>
    <sheetView workbookViewId="0"/>
  </sheetViews>
  <sheetFormatPr defaultRowHeight="14.5" x14ac:dyDescent="0.35"/>
  <cols>
    <col min="2" max="2" width="14.08984375" customWidth="1"/>
    <col min="3" max="3" width="13.90625" customWidth="1"/>
    <col min="4" max="4" width="17.1796875" customWidth="1"/>
    <col min="5" max="5" width="16.26953125" customWidth="1"/>
    <col min="6" max="6" width="14.90625" customWidth="1"/>
    <col min="7" max="7" width="17.453125" customWidth="1"/>
    <col min="8" max="8" width="19.26953125" customWidth="1"/>
    <col min="9" max="9" width="12.81640625" customWidth="1"/>
    <col min="10" max="10" width="15.6328125" customWidth="1"/>
    <col min="11" max="11" width="15.90625" customWidth="1"/>
  </cols>
  <sheetData>
    <row r="1" spans="1:13" x14ac:dyDescent="0.35">
      <c r="A1" s="1" t="s">
        <v>0</v>
      </c>
      <c r="B1" s="1" t="s">
        <v>1</v>
      </c>
      <c r="C1" s="1" t="s">
        <v>2</v>
      </c>
      <c r="D1" s="1" t="s">
        <v>3</v>
      </c>
      <c r="E1" s="1" t="s">
        <v>4</v>
      </c>
      <c r="F1" s="1" t="s">
        <v>5</v>
      </c>
      <c r="G1" s="1" t="s">
        <v>94</v>
      </c>
      <c r="H1" s="1" t="s">
        <v>95</v>
      </c>
      <c r="I1" s="1" t="s">
        <v>96</v>
      </c>
      <c r="J1" s="3" t="s">
        <v>7</v>
      </c>
      <c r="K1" s="3" t="s">
        <v>97</v>
      </c>
    </row>
    <row r="2" spans="1:13" ht="43.5" x14ac:dyDescent="0.35">
      <c r="A2" s="4" t="s">
        <v>9</v>
      </c>
      <c r="B2" s="5">
        <v>46027</v>
      </c>
      <c r="C2" s="4" t="s">
        <v>29</v>
      </c>
      <c r="D2" s="4" t="s">
        <v>98</v>
      </c>
      <c r="E2" s="4" t="s">
        <v>99</v>
      </c>
      <c r="F2" s="4" t="s">
        <v>100</v>
      </c>
      <c r="G2" s="4" t="s">
        <v>98</v>
      </c>
      <c r="H2" s="4" t="s">
        <v>101</v>
      </c>
      <c r="I2" s="2">
        <v>2</v>
      </c>
      <c r="J2" s="2">
        <v>65000</v>
      </c>
      <c r="K2" s="2">
        <v>130000</v>
      </c>
      <c r="M2" t="s">
        <v>149</v>
      </c>
    </row>
    <row r="3" spans="1:13" x14ac:dyDescent="0.35">
      <c r="A3" s="4" t="s">
        <v>14</v>
      </c>
      <c r="B3" s="5">
        <v>46034</v>
      </c>
      <c r="C3" s="4" t="s">
        <v>10</v>
      </c>
      <c r="D3" s="4" t="s">
        <v>102</v>
      </c>
      <c r="E3" s="4" t="s">
        <v>103</v>
      </c>
      <c r="F3" s="4" t="s">
        <v>100</v>
      </c>
      <c r="G3" s="4" t="s">
        <v>102</v>
      </c>
      <c r="H3" s="4" t="s">
        <v>104</v>
      </c>
      <c r="I3" s="2">
        <v>3</v>
      </c>
      <c r="J3" s="2">
        <v>58000</v>
      </c>
      <c r="K3" s="2">
        <v>174000</v>
      </c>
      <c r="M3" t="s">
        <v>148</v>
      </c>
    </row>
    <row r="4" spans="1:13" ht="29" x14ac:dyDescent="0.35">
      <c r="A4" s="4" t="s">
        <v>19</v>
      </c>
      <c r="B4" s="5">
        <v>46042</v>
      </c>
      <c r="C4" s="4" t="s">
        <v>15</v>
      </c>
      <c r="D4" s="4" t="s">
        <v>105</v>
      </c>
      <c r="E4" s="4" t="s">
        <v>106</v>
      </c>
      <c r="F4" s="4" t="s">
        <v>12</v>
      </c>
      <c r="G4" s="4" t="s">
        <v>105</v>
      </c>
      <c r="H4" s="4" t="s">
        <v>107</v>
      </c>
      <c r="I4" s="2">
        <v>2</v>
      </c>
      <c r="J4" s="2">
        <v>72000</v>
      </c>
      <c r="K4" s="2">
        <v>144000</v>
      </c>
    </row>
    <row r="5" spans="1:13" ht="58" x14ac:dyDescent="0.35">
      <c r="A5" s="4" t="s">
        <v>23</v>
      </c>
      <c r="B5" s="5">
        <v>46056</v>
      </c>
      <c r="C5" s="4" t="s">
        <v>20</v>
      </c>
      <c r="D5" s="4" t="s">
        <v>108</v>
      </c>
      <c r="E5" s="4" t="s">
        <v>109</v>
      </c>
      <c r="F5" s="4" t="s">
        <v>12</v>
      </c>
      <c r="G5" s="4" t="s">
        <v>108</v>
      </c>
      <c r="H5" s="4" t="s">
        <v>110</v>
      </c>
      <c r="I5" s="2">
        <v>1</v>
      </c>
      <c r="J5" s="2">
        <v>68000</v>
      </c>
      <c r="K5" s="2">
        <v>68000</v>
      </c>
      <c r="M5" t="s">
        <v>150</v>
      </c>
    </row>
    <row r="6" spans="1:13" ht="43.5" x14ac:dyDescent="0.35">
      <c r="A6" s="4" t="s">
        <v>26</v>
      </c>
      <c r="B6" s="5">
        <v>46068</v>
      </c>
      <c r="C6" s="4" t="s">
        <v>29</v>
      </c>
      <c r="D6" s="4" t="s">
        <v>98</v>
      </c>
      <c r="E6" s="4" t="s">
        <v>111</v>
      </c>
      <c r="F6" s="4" t="s">
        <v>18</v>
      </c>
      <c r="G6" s="4" t="s">
        <v>112</v>
      </c>
      <c r="H6" s="4" t="s">
        <v>113</v>
      </c>
      <c r="I6" s="2">
        <v>5</v>
      </c>
      <c r="J6" s="2">
        <v>18000</v>
      </c>
      <c r="K6" s="2">
        <v>90000</v>
      </c>
      <c r="M6" t="s">
        <v>151</v>
      </c>
    </row>
    <row r="7" spans="1:13" ht="43.5" x14ac:dyDescent="0.35">
      <c r="A7" s="4" t="s">
        <v>27</v>
      </c>
      <c r="B7" s="5">
        <v>46078</v>
      </c>
      <c r="C7" s="4" t="s">
        <v>10</v>
      </c>
      <c r="D7" s="4" t="s">
        <v>102</v>
      </c>
      <c r="E7" s="4" t="s">
        <v>99</v>
      </c>
      <c r="F7" s="4" t="s">
        <v>100</v>
      </c>
      <c r="G7" s="4" t="s">
        <v>114</v>
      </c>
      <c r="H7" s="4" t="s">
        <v>115</v>
      </c>
      <c r="I7" s="2">
        <v>2</v>
      </c>
      <c r="J7" s="2">
        <v>65000</v>
      </c>
      <c r="K7" s="2">
        <v>130000</v>
      </c>
      <c r="M7" t="s">
        <v>152</v>
      </c>
    </row>
    <row r="8" spans="1:13" ht="29" x14ac:dyDescent="0.35">
      <c r="A8" s="4" t="s">
        <v>28</v>
      </c>
      <c r="B8" s="5">
        <v>46086</v>
      </c>
      <c r="C8" s="4" t="s">
        <v>15</v>
      </c>
      <c r="D8" s="4" t="s">
        <v>105</v>
      </c>
      <c r="E8" s="4" t="s">
        <v>116</v>
      </c>
      <c r="F8" s="4" t="s">
        <v>12</v>
      </c>
      <c r="G8" s="4" t="s">
        <v>117</v>
      </c>
      <c r="H8" s="4" t="s">
        <v>118</v>
      </c>
      <c r="I8" s="2">
        <v>3</v>
      </c>
      <c r="J8" s="2">
        <v>62000</v>
      </c>
      <c r="K8" s="2">
        <v>186000</v>
      </c>
    </row>
    <row r="9" spans="1:13" ht="43.5" x14ac:dyDescent="0.35">
      <c r="A9" s="4" t="s">
        <v>30</v>
      </c>
      <c r="B9" s="5">
        <v>46099</v>
      </c>
      <c r="C9" s="4" t="s">
        <v>20</v>
      </c>
      <c r="D9" s="4" t="s">
        <v>108</v>
      </c>
      <c r="E9" s="4" t="s">
        <v>103</v>
      </c>
      <c r="F9" s="4" t="s">
        <v>100</v>
      </c>
      <c r="G9" s="4" t="s">
        <v>119</v>
      </c>
      <c r="H9" s="4" t="s">
        <v>120</v>
      </c>
      <c r="I9" s="2">
        <v>2</v>
      </c>
      <c r="J9" s="2">
        <v>58000</v>
      </c>
      <c r="K9" s="2">
        <v>116000</v>
      </c>
    </row>
    <row r="10" spans="1:13" ht="29" x14ac:dyDescent="0.35">
      <c r="A10" s="4" t="s">
        <v>31</v>
      </c>
      <c r="B10" s="5">
        <v>46114</v>
      </c>
      <c r="C10" s="4" t="s">
        <v>29</v>
      </c>
      <c r="D10" s="4" t="s">
        <v>98</v>
      </c>
      <c r="E10" s="4" t="s">
        <v>121</v>
      </c>
      <c r="F10" s="4" t="s">
        <v>122</v>
      </c>
      <c r="G10" s="4" t="s">
        <v>123</v>
      </c>
      <c r="H10" s="4" t="s">
        <v>124</v>
      </c>
      <c r="I10" s="2">
        <v>4</v>
      </c>
      <c r="J10" s="2">
        <v>32000</v>
      </c>
      <c r="K10" s="2">
        <v>128000</v>
      </c>
    </row>
    <row r="11" spans="1:13" ht="43.5" x14ac:dyDescent="0.35">
      <c r="A11" s="4" t="s">
        <v>32</v>
      </c>
      <c r="B11" s="5">
        <v>46126</v>
      </c>
      <c r="C11" s="4" t="s">
        <v>10</v>
      </c>
      <c r="D11" s="4" t="s">
        <v>102</v>
      </c>
      <c r="E11" s="4" t="s">
        <v>111</v>
      </c>
      <c r="F11" s="4" t="s">
        <v>18</v>
      </c>
      <c r="G11" s="4" t="s">
        <v>125</v>
      </c>
      <c r="H11" s="4" t="s">
        <v>126</v>
      </c>
      <c r="I11" s="2">
        <v>6</v>
      </c>
      <c r="J11" s="2">
        <v>18000</v>
      </c>
      <c r="K11" s="2">
        <v>108000</v>
      </c>
    </row>
    <row r="12" spans="1:13" ht="29" x14ac:dyDescent="0.35">
      <c r="A12" s="4" t="s">
        <v>33</v>
      </c>
      <c r="B12" s="5">
        <v>46137</v>
      </c>
      <c r="C12" s="4" t="s">
        <v>15</v>
      </c>
      <c r="D12" s="4" t="s">
        <v>105</v>
      </c>
      <c r="E12" s="4" t="s">
        <v>99</v>
      </c>
      <c r="F12" s="4" t="s">
        <v>100</v>
      </c>
      <c r="G12" s="4" t="s">
        <v>127</v>
      </c>
      <c r="H12" s="4" t="s">
        <v>128</v>
      </c>
      <c r="I12" s="2">
        <v>2</v>
      </c>
      <c r="J12" s="2">
        <v>65000</v>
      </c>
      <c r="K12" s="2">
        <v>130000</v>
      </c>
    </row>
    <row r="13" spans="1:13" ht="58" x14ac:dyDescent="0.35">
      <c r="A13" s="4" t="s">
        <v>34</v>
      </c>
      <c r="B13" s="5">
        <v>46150</v>
      </c>
      <c r="C13" s="4" t="s">
        <v>20</v>
      </c>
      <c r="D13" s="4" t="s">
        <v>108</v>
      </c>
      <c r="E13" s="4" t="s">
        <v>109</v>
      </c>
      <c r="F13" s="4" t="s">
        <v>12</v>
      </c>
      <c r="G13" s="4" t="s">
        <v>129</v>
      </c>
      <c r="H13" s="4" t="s">
        <v>110</v>
      </c>
      <c r="I13" s="2">
        <v>2</v>
      </c>
      <c r="J13" s="2">
        <v>68000</v>
      </c>
      <c r="K13" s="2">
        <v>136000</v>
      </c>
    </row>
    <row r="14" spans="1:13" ht="43.5" x14ac:dyDescent="0.35">
      <c r="A14" s="4" t="s">
        <v>35</v>
      </c>
      <c r="B14" s="5">
        <v>46161</v>
      </c>
      <c r="C14" s="4" t="s">
        <v>29</v>
      </c>
      <c r="D14" s="4" t="s">
        <v>98</v>
      </c>
      <c r="E14" s="4" t="s">
        <v>103</v>
      </c>
      <c r="F14" s="4" t="s">
        <v>100</v>
      </c>
      <c r="G14" s="4" t="s">
        <v>130</v>
      </c>
      <c r="H14" s="4" t="s">
        <v>101</v>
      </c>
      <c r="I14" s="2">
        <v>3</v>
      </c>
      <c r="J14" s="2">
        <v>58000</v>
      </c>
      <c r="K14" s="2">
        <v>174000</v>
      </c>
    </row>
    <row r="15" spans="1:13" ht="43.5" x14ac:dyDescent="0.35">
      <c r="A15" s="4" t="s">
        <v>36</v>
      </c>
      <c r="B15" s="5">
        <v>46172</v>
      </c>
      <c r="C15" s="4" t="s">
        <v>10</v>
      </c>
      <c r="D15" s="4" t="s">
        <v>102</v>
      </c>
      <c r="E15" s="4" t="s">
        <v>121</v>
      </c>
      <c r="F15" s="4" t="s">
        <v>122</v>
      </c>
      <c r="G15" s="4" t="s">
        <v>131</v>
      </c>
      <c r="H15" s="4" t="s">
        <v>115</v>
      </c>
      <c r="I15" s="2">
        <v>2</v>
      </c>
      <c r="J15" s="2">
        <v>32000</v>
      </c>
      <c r="K15" s="2">
        <v>64000</v>
      </c>
    </row>
    <row r="16" spans="1:13" ht="29" x14ac:dyDescent="0.35">
      <c r="A16" s="4" t="s">
        <v>37</v>
      </c>
      <c r="B16" s="5">
        <v>46180</v>
      </c>
      <c r="C16" s="4" t="s">
        <v>15</v>
      </c>
      <c r="D16" s="4" t="s">
        <v>105</v>
      </c>
      <c r="E16" s="4" t="s">
        <v>106</v>
      </c>
      <c r="F16" s="4" t="s">
        <v>12</v>
      </c>
      <c r="G16" s="4" t="s">
        <v>132</v>
      </c>
      <c r="H16" s="4" t="s">
        <v>107</v>
      </c>
      <c r="I16" s="2">
        <v>3</v>
      </c>
      <c r="J16" s="2">
        <v>72000</v>
      </c>
      <c r="K16" s="2">
        <v>216000</v>
      </c>
    </row>
    <row r="17" spans="1:11" ht="43.5" x14ac:dyDescent="0.35">
      <c r="A17" s="4" t="s">
        <v>38</v>
      </c>
      <c r="B17" s="5">
        <v>46191</v>
      </c>
      <c r="C17" s="4" t="s">
        <v>20</v>
      </c>
      <c r="D17" s="4" t="s">
        <v>108</v>
      </c>
      <c r="E17" s="4" t="s">
        <v>111</v>
      </c>
      <c r="F17" s="4" t="s">
        <v>18</v>
      </c>
      <c r="G17" s="4" t="s">
        <v>133</v>
      </c>
      <c r="H17" s="4" t="s">
        <v>134</v>
      </c>
      <c r="I17" s="2">
        <v>4</v>
      </c>
      <c r="J17" s="2">
        <v>18000</v>
      </c>
      <c r="K17" s="2">
        <v>72000</v>
      </c>
    </row>
    <row r="18" spans="1:11" ht="29" x14ac:dyDescent="0.35">
      <c r="A18" s="4" t="s">
        <v>39</v>
      </c>
      <c r="B18" s="5">
        <v>46206</v>
      </c>
      <c r="C18" s="4" t="s">
        <v>29</v>
      </c>
      <c r="D18" s="4" t="s">
        <v>98</v>
      </c>
      <c r="E18" s="4" t="s">
        <v>99</v>
      </c>
      <c r="F18" s="4" t="s">
        <v>100</v>
      </c>
      <c r="G18" s="4" t="s">
        <v>135</v>
      </c>
      <c r="H18" s="4" t="s">
        <v>136</v>
      </c>
      <c r="I18" s="2">
        <v>3</v>
      </c>
      <c r="J18" s="2">
        <v>65000</v>
      </c>
      <c r="K18" s="2">
        <v>195000</v>
      </c>
    </row>
    <row r="19" spans="1:11" ht="43.5" x14ac:dyDescent="0.35">
      <c r="A19" s="4" t="s">
        <v>40</v>
      </c>
      <c r="B19" s="5">
        <v>46218</v>
      </c>
      <c r="C19" s="4" t="s">
        <v>10</v>
      </c>
      <c r="D19" s="4" t="s">
        <v>102</v>
      </c>
      <c r="E19" s="4" t="s">
        <v>109</v>
      </c>
      <c r="F19" s="4" t="s">
        <v>12</v>
      </c>
      <c r="G19" s="4" t="s">
        <v>137</v>
      </c>
      <c r="H19" s="4" t="s">
        <v>104</v>
      </c>
      <c r="I19" s="2">
        <v>2</v>
      </c>
      <c r="J19" s="2">
        <v>68000</v>
      </c>
      <c r="K19" s="2">
        <v>136000</v>
      </c>
    </row>
    <row r="20" spans="1:11" ht="29" x14ac:dyDescent="0.35">
      <c r="A20" s="4" t="s">
        <v>41</v>
      </c>
      <c r="B20" s="5">
        <v>46231</v>
      </c>
      <c r="C20" s="4" t="s">
        <v>15</v>
      </c>
      <c r="D20" s="4" t="s">
        <v>105</v>
      </c>
      <c r="E20" s="4" t="s">
        <v>103</v>
      </c>
      <c r="F20" s="4" t="s">
        <v>100</v>
      </c>
      <c r="G20" s="4" t="s">
        <v>138</v>
      </c>
      <c r="H20" s="4" t="s">
        <v>139</v>
      </c>
      <c r="I20" s="2">
        <v>4</v>
      </c>
      <c r="J20" s="2">
        <v>58000</v>
      </c>
      <c r="K20" s="2">
        <v>232000</v>
      </c>
    </row>
    <row r="21" spans="1:11" ht="43.5" x14ac:dyDescent="0.35">
      <c r="A21" s="4" t="s">
        <v>42</v>
      </c>
      <c r="B21" s="5">
        <v>46243</v>
      </c>
      <c r="C21" s="4" t="s">
        <v>20</v>
      </c>
      <c r="D21" s="4" t="s">
        <v>108</v>
      </c>
      <c r="E21" s="4" t="s">
        <v>121</v>
      </c>
      <c r="F21" s="4" t="s">
        <v>122</v>
      </c>
      <c r="G21" s="4" t="s">
        <v>140</v>
      </c>
      <c r="H21" s="4" t="s">
        <v>120</v>
      </c>
      <c r="I21" s="2">
        <v>3</v>
      </c>
      <c r="J21" s="2">
        <v>32000</v>
      </c>
      <c r="K21" s="2">
        <v>96000</v>
      </c>
    </row>
    <row r="22" spans="1:11" ht="43.5" x14ac:dyDescent="0.35">
      <c r="A22" s="4" t="s">
        <v>43</v>
      </c>
      <c r="B22" s="5">
        <v>46251</v>
      </c>
      <c r="C22" s="4" t="s">
        <v>29</v>
      </c>
      <c r="D22" s="4" t="s">
        <v>98</v>
      </c>
      <c r="E22" s="4" t="s">
        <v>111</v>
      </c>
      <c r="F22" s="4" t="s">
        <v>18</v>
      </c>
      <c r="G22" s="4" t="s">
        <v>141</v>
      </c>
      <c r="H22" s="4" t="s">
        <v>101</v>
      </c>
      <c r="I22" s="2">
        <v>7</v>
      </c>
      <c r="J22" s="2">
        <v>18000</v>
      </c>
      <c r="K22" s="2">
        <v>126000</v>
      </c>
    </row>
    <row r="23" spans="1:11" ht="29" x14ac:dyDescent="0.35">
      <c r="A23" s="4" t="s">
        <v>44</v>
      </c>
      <c r="B23" s="5">
        <v>46263</v>
      </c>
      <c r="C23" s="4" t="s">
        <v>10</v>
      </c>
      <c r="D23" s="4" t="s">
        <v>102</v>
      </c>
      <c r="E23" s="4" t="s">
        <v>99</v>
      </c>
      <c r="F23" s="4" t="s">
        <v>100</v>
      </c>
      <c r="G23" s="4" t="s">
        <v>142</v>
      </c>
      <c r="H23" s="4" t="s">
        <v>143</v>
      </c>
      <c r="I23" s="2">
        <v>2</v>
      </c>
      <c r="J23" s="2">
        <v>65000</v>
      </c>
      <c r="K23" s="2">
        <v>130000</v>
      </c>
    </row>
    <row r="24" spans="1:11" ht="29" x14ac:dyDescent="0.35">
      <c r="A24" s="4" t="s">
        <v>45</v>
      </c>
      <c r="B24" s="5">
        <v>46269</v>
      </c>
      <c r="C24" s="4" t="s">
        <v>15</v>
      </c>
      <c r="D24" s="4" t="s">
        <v>105</v>
      </c>
      <c r="E24" s="4" t="s">
        <v>116</v>
      </c>
      <c r="F24" s="4" t="s">
        <v>12</v>
      </c>
      <c r="G24" s="4" t="s">
        <v>144</v>
      </c>
      <c r="H24" s="4" t="s">
        <v>107</v>
      </c>
      <c r="I24" s="2">
        <v>2</v>
      </c>
      <c r="J24" s="2">
        <v>62000</v>
      </c>
      <c r="K24" s="2">
        <v>124000</v>
      </c>
    </row>
    <row r="25" spans="1:11" ht="43.5" x14ac:dyDescent="0.35">
      <c r="A25" s="4" t="s">
        <v>46</v>
      </c>
      <c r="B25" s="5">
        <v>46272</v>
      </c>
      <c r="C25" s="4" t="s">
        <v>20</v>
      </c>
      <c r="D25" s="4" t="s">
        <v>108</v>
      </c>
      <c r="E25" s="4" t="s">
        <v>103</v>
      </c>
      <c r="F25" s="4" t="s">
        <v>100</v>
      </c>
      <c r="G25" s="4" t="s">
        <v>145</v>
      </c>
      <c r="H25" s="4" t="s">
        <v>146</v>
      </c>
      <c r="I25" s="2">
        <v>3</v>
      </c>
      <c r="J25" s="2">
        <v>58000</v>
      </c>
      <c r="K25" s="2">
        <v>174000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Sheet3</vt:lpstr>
      <vt:lpstr>Sheet4</vt:lpstr>
      <vt:lpstr>sales_data</vt:lpstr>
      <vt:lpstr>Sheet5</vt:lpstr>
      <vt:lpstr>Sheet7</vt:lpstr>
      <vt:lpstr>Sheet8</vt:lpstr>
      <vt:lpstr>graphs</vt:lpstr>
      <vt:lpstr>8-sept-26</vt:lpstr>
      <vt:lpstr>Sheet11</vt:lpstr>
      <vt:lpstr>Sheet6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Dishant Shah</dc:creator>
  <cp:lastModifiedBy>Dishant Shah</cp:lastModifiedBy>
  <dcterms:created xsi:type="dcterms:W3CDTF">2026-09-05T00:37:19Z</dcterms:created>
  <dcterms:modified xsi:type="dcterms:W3CDTF">2026-09-08T05:18:51Z</dcterms:modified>
</cp:coreProperties>
</file>