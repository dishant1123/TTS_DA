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a44234ee9b2914/Desktop/tops/TTS_DA/Adv_excel/"/>
    </mc:Choice>
  </mc:AlternateContent>
  <xr:revisionPtr revIDLastSave="0" documentId="8_{3760560F-84B6-4DF2-81AA-91DA230611CB}" xr6:coauthVersionLast="47" xr6:coauthVersionMax="47" xr10:uidLastSave="{00000000-0000-0000-0000-000000000000}"/>
  <bookViews>
    <workbookView xWindow="-110" yWindow="-110" windowWidth="19420" windowHeight="10300" xr2:uid="{CC29DCCB-3F90-4116-9292-F0C35457C9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M5" i="1"/>
  <c r="N4" i="1"/>
  <c r="M4" i="1"/>
  <c r="L4" i="1"/>
  <c r="L3" i="1"/>
  <c r="L2" i="1"/>
  <c r="L10" i="1"/>
  <c r="L9" i="1"/>
  <c r="L5" i="1"/>
</calcChain>
</file>

<file path=xl/sharedStrings.xml><?xml version="1.0" encoding="utf-8"?>
<sst xmlns="http://schemas.openxmlformats.org/spreadsheetml/2006/main" count="48" uniqueCount="43">
  <si>
    <t>Employee_ID</t>
  </si>
  <si>
    <t>Employee_Name</t>
  </si>
  <si>
    <t>Department</t>
  </si>
  <si>
    <t>Hire_Date</t>
  </si>
  <si>
    <t>End_Date</t>
  </si>
  <si>
    <t>Salary</t>
  </si>
  <si>
    <t>E001</t>
  </si>
  <si>
    <t>IT</t>
  </si>
  <si>
    <t>E002</t>
  </si>
  <si>
    <t>PRIYA patel</t>
  </si>
  <si>
    <t>HR</t>
  </si>
  <si>
    <t>E003</t>
  </si>
  <si>
    <t>aMiT kumar</t>
  </si>
  <si>
    <t>Finance</t>
  </si>
  <si>
    <t>E004</t>
  </si>
  <si>
    <t>NeHa MeHtA</t>
  </si>
  <si>
    <t>Sales</t>
  </si>
  <si>
    <t>E005</t>
  </si>
  <si>
    <t>rohit SHAH</t>
  </si>
  <si>
    <t>E006</t>
  </si>
  <si>
    <t>KAJAL joshi</t>
  </si>
  <si>
    <t>Marketing</t>
  </si>
  <si>
    <t>E007</t>
  </si>
  <si>
    <t>mAnIsH pAtEl</t>
  </si>
  <si>
    <t>E008</t>
  </si>
  <si>
    <t>pooja DESAI</t>
  </si>
  <si>
    <t>E009</t>
  </si>
  <si>
    <t>RAJ MEHTA</t>
  </si>
  <si>
    <t>E010</t>
  </si>
  <si>
    <t>sneha Shah</t>
  </si>
  <si>
    <t>1.trim</t>
  </si>
  <si>
    <t>2.clean</t>
  </si>
  <si>
    <t>3.upper,lower,proper</t>
  </si>
  <si>
    <t>4.substitute : IT ----&gt; infor tech</t>
  </si>
  <si>
    <t>DATE TIME :</t>
  </si>
  <si>
    <t>1.day,month,year</t>
  </si>
  <si>
    <t>2.dateif ----&gt; count the total exp</t>
  </si>
  <si>
    <t>3.eomonth</t>
  </si>
  <si>
    <t>rAhUl         shaH</t>
  </si>
  <si>
    <t>day</t>
  </si>
  <si>
    <t>month</t>
  </si>
  <si>
    <t>year</t>
  </si>
  <si>
    <t>Total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</si>
</sst>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019E-719E-40DE-9909-BA7D9E87C7BC}">
  <dimension ref="A1:N14"/>
  <sheetViews>
    <sheetView tabSelected="1" workbookViewId="0">
      <selection activeCell="J12" sqref="J12"/>
    </sheetView>
  </sheetViews>
  <sheetFormatPr defaultRowHeight="14.5"/>
  <cols>
    <col min="1" max="1" width="17.1796875" customWidth="1"/>
    <col min="2" max="2" width="15.36328125" customWidth="1"/>
    <col min="3" max="3" width="14.1796875" customWidth="1"/>
    <col min="4" max="4" width="13.453125" customWidth="1"/>
    <col min="5" max="5" width="14.453125" customWidth="1"/>
    <col min="6" max="6" width="11.90625" customWidth="1"/>
    <col min="11" max="11" width="26.54296875" bestFit="1" customWidth="1"/>
    <col min="12" max="12" width="19.7265625" bestFit="1" customWidth="1"/>
    <col min="13" max="13" width="14.453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4">
      <c r="A2" s="4" t="s">
        <v>6</v>
      </c>
      <c r="B2" s="5" t="s">
        <v>38</v>
      </c>
      <c r="C2" s="4" t="s">
        <v>7</v>
      </c>
      <c r="D2" s="7">
        <v>43266</v>
      </c>
      <c r="E2" s="7">
        <v>46254</v>
      </c>
      <c r="F2" s="2">
        <v>55000</v>
      </c>
      <c r="G2">
        <f>DAY(D2)</f>
        <v>15</v>
      </c>
      <c r="H2">
        <f>MONTH(E2)</f>
        <v>8</v>
      </c>
      <c r="I2">
        <f>YEAR(E2)</f>
        <v>2026</v>
      </c>
      <c r="J2">
        <f ca="1">DATEDIF(D2,TODAY(),"Y")</f>
        <v>8</v>
      </c>
      <c r="K2" t="s">
        <v>30</v>
      </c>
      <c r="L2" t="str">
        <f>TRIM(B2)</f>
        <v>rAhUl shaH</v>
      </c>
    </row>
    <row r="3" spans="1:14">
      <c r="A3" s="4" t="s">
        <v>8</v>
      </c>
      <c r="B3" s="5" t="s">
        <v>9</v>
      </c>
      <c r="C3" s="4" t="s">
        <v>10</v>
      </c>
      <c r="D3" s="7">
        <v>43900</v>
      </c>
      <c r="E3" s="7">
        <v>46218</v>
      </c>
      <c r="F3" s="2">
        <v>48000</v>
      </c>
      <c r="G3">
        <f t="shared" ref="G3:G11" si="0">DAY(D3)</f>
        <v>10</v>
      </c>
      <c r="H3">
        <f t="shared" ref="H3:H11" si="1">MONTH(E3)</f>
        <v>7</v>
      </c>
      <c r="I3">
        <f t="shared" ref="I3:I11" si="2">YEAR(E3)</f>
        <v>2026</v>
      </c>
      <c r="J3">
        <f t="shared" ref="J3:J11" ca="1" si="3">DATEDIF(D3,TODAY(),"Y")</f>
        <v>6</v>
      </c>
      <c r="K3" t="s">
        <v>31</v>
      </c>
      <c r="L3" t="str">
        <f>CLEAN(B2)</f>
        <v>rAhUl         shaH</v>
      </c>
    </row>
    <row r="4" spans="1:14">
      <c r="A4" s="4" t="s">
        <v>11</v>
      </c>
      <c r="B4" s="5" t="s">
        <v>12</v>
      </c>
      <c r="C4" s="4" t="s">
        <v>13</v>
      </c>
      <c r="D4" s="7">
        <v>42757</v>
      </c>
      <c r="E4" s="7">
        <v>46203</v>
      </c>
      <c r="F4" s="2">
        <v>62000</v>
      </c>
      <c r="G4">
        <f t="shared" si="0"/>
        <v>22</v>
      </c>
      <c r="H4">
        <f t="shared" si="1"/>
        <v>6</v>
      </c>
      <c r="I4">
        <f t="shared" si="2"/>
        <v>2026</v>
      </c>
      <c r="J4">
        <f t="shared" ca="1" si="3"/>
        <v>9</v>
      </c>
      <c r="K4" t="s">
        <v>32</v>
      </c>
      <c r="L4" t="str">
        <f>LOWER(B2)</f>
        <v>rahul         shah</v>
      </c>
      <c r="M4" t="str">
        <f>UPPER(B2)</f>
        <v>RAHUL         SHAH</v>
      </c>
      <c r="N4" t="str">
        <f>PROPER(TRIM(B2))</f>
        <v>Rahul Shah</v>
      </c>
    </row>
    <row r="5" spans="1:14">
      <c r="A5" s="4" t="s">
        <v>14</v>
      </c>
      <c r="B5" s="5" t="s">
        <v>15</v>
      </c>
      <c r="C5" s="4" t="s">
        <v>16</v>
      </c>
      <c r="D5" s="7">
        <v>43774</v>
      </c>
      <c r="E5" s="7">
        <v>46259</v>
      </c>
      <c r="F5" s="2">
        <v>45000</v>
      </c>
      <c r="G5">
        <f t="shared" si="0"/>
        <v>5</v>
      </c>
      <c r="H5">
        <f t="shared" si="1"/>
        <v>8</v>
      </c>
      <c r="I5">
        <f t="shared" si="2"/>
        <v>2026</v>
      </c>
      <c r="J5">
        <f t="shared" ca="1" si="3"/>
        <v>6</v>
      </c>
      <c r="K5" t="s">
        <v>33</v>
      </c>
      <c r="L5" t="str">
        <f>SUBSTITUTE(C2,"IT","Information Technology")</f>
        <v>Information Technology</v>
      </c>
      <c r="M5" t="str">
        <f>SUBSTITUTE(C2,"IT","Information Technology")</f>
        <v>Information Technology</v>
      </c>
    </row>
    <row r="6" spans="1:14">
      <c r="A6" s="4" t="s">
        <v>17</v>
      </c>
      <c r="B6" s="5" t="s">
        <v>18</v>
      </c>
      <c r="C6" s="4" t="s">
        <v>7</v>
      </c>
      <c r="D6" s="7">
        <v>44395</v>
      </c>
      <c r="E6" s="7">
        <v>46244</v>
      </c>
      <c r="F6" s="2">
        <v>52000</v>
      </c>
      <c r="G6">
        <f t="shared" si="0"/>
        <v>18</v>
      </c>
      <c r="H6">
        <f t="shared" si="1"/>
        <v>8</v>
      </c>
      <c r="I6">
        <f t="shared" si="2"/>
        <v>2026</v>
      </c>
      <c r="J6">
        <f t="shared" ca="1" si="3"/>
        <v>5</v>
      </c>
    </row>
    <row r="7" spans="1:14">
      <c r="A7" s="4" t="s">
        <v>19</v>
      </c>
      <c r="B7" s="5" t="s">
        <v>20</v>
      </c>
      <c r="C7" s="4" t="s">
        <v>21</v>
      </c>
      <c r="D7" s="7">
        <v>42412</v>
      </c>
      <c r="E7" s="7">
        <v>46234</v>
      </c>
      <c r="F7" s="2">
        <v>58000</v>
      </c>
      <c r="G7">
        <f t="shared" si="0"/>
        <v>12</v>
      </c>
      <c r="H7">
        <f t="shared" si="1"/>
        <v>7</v>
      </c>
      <c r="I7">
        <f t="shared" si="2"/>
        <v>2026</v>
      </c>
      <c r="J7">
        <f t="shared" ca="1" si="3"/>
        <v>10</v>
      </c>
      <c r="K7" t="s">
        <v>34</v>
      </c>
    </row>
    <row r="8" spans="1:14">
      <c r="A8" s="4" t="s">
        <v>22</v>
      </c>
      <c r="B8" s="5" t="s">
        <v>23</v>
      </c>
      <c r="C8" s="4" t="s">
        <v>16</v>
      </c>
      <c r="D8" s="7">
        <v>43368</v>
      </c>
      <c r="E8" s="7">
        <v>46252</v>
      </c>
      <c r="F8" s="2">
        <v>47000</v>
      </c>
      <c r="G8">
        <f t="shared" si="0"/>
        <v>25</v>
      </c>
      <c r="H8">
        <f t="shared" si="1"/>
        <v>8</v>
      </c>
      <c r="I8">
        <f t="shared" si="2"/>
        <v>2026</v>
      </c>
      <c r="J8">
        <f t="shared" ca="1" si="3"/>
        <v>7</v>
      </c>
      <c r="K8" t="s">
        <v>35</v>
      </c>
    </row>
    <row r="9" spans="1:14">
      <c r="A9" s="4" t="s">
        <v>24</v>
      </c>
      <c r="B9" s="5" t="s">
        <v>25</v>
      </c>
      <c r="C9" s="4" t="s">
        <v>10</v>
      </c>
      <c r="D9" s="7">
        <v>44695</v>
      </c>
      <c r="E9" s="7">
        <v>46239</v>
      </c>
      <c r="F9" s="2">
        <v>42000</v>
      </c>
      <c r="G9">
        <f t="shared" si="0"/>
        <v>14</v>
      </c>
      <c r="H9">
        <f t="shared" si="1"/>
        <v>8</v>
      </c>
      <c r="I9">
        <f t="shared" si="2"/>
        <v>2026</v>
      </c>
      <c r="J9">
        <f t="shared" ca="1" si="3"/>
        <v>4</v>
      </c>
      <c r="K9" t="s">
        <v>36</v>
      </c>
      <c r="L9">
        <f ca="1">DATEDIF(D2,TODAY(),"Y")</f>
        <v>8</v>
      </c>
    </row>
    <row r="10" spans="1:14">
      <c r="A10" s="4" t="s">
        <v>26</v>
      </c>
      <c r="B10" s="5" t="s">
        <v>27</v>
      </c>
      <c r="C10" s="4" t="s">
        <v>13</v>
      </c>
      <c r="D10" s="7">
        <v>42346</v>
      </c>
      <c r="E10" s="7">
        <v>46231</v>
      </c>
      <c r="F10" s="2">
        <v>68000</v>
      </c>
      <c r="G10">
        <f t="shared" si="0"/>
        <v>8</v>
      </c>
      <c r="H10">
        <f t="shared" si="1"/>
        <v>7</v>
      </c>
      <c r="I10">
        <f t="shared" si="2"/>
        <v>2026</v>
      </c>
      <c r="J10">
        <f t="shared" ca="1" si="3"/>
        <v>10</v>
      </c>
      <c r="K10" t="s">
        <v>37</v>
      </c>
      <c r="L10" s="6">
        <f>EOMONTH(D2,1)</f>
        <v>43312</v>
      </c>
    </row>
    <row r="11" spans="1:14">
      <c r="A11" s="4" t="s">
        <v>28</v>
      </c>
      <c r="B11" s="5" t="s">
        <v>29</v>
      </c>
      <c r="C11" s="4" t="s">
        <v>7</v>
      </c>
      <c r="D11" s="7">
        <v>44063</v>
      </c>
      <c r="E11" s="7">
        <v>46256</v>
      </c>
      <c r="F11" s="2">
        <v>50000</v>
      </c>
      <c r="G11">
        <f t="shared" si="0"/>
        <v>20</v>
      </c>
      <c r="H11">
        <f t="shared" si="1"/>
        <v>8</v>
      </c>
      <c r="I11">
        <f t="shared" si="2"/>
        <v>2026</v>
      </c>
      <c r="J11">
        <f t="shared" ca="1" si="3"/>
        <v>5</v>
      </c>
    </row>
    <row r="14" spans="1:14">
      <c r="K14" s="6">
        <f ca="1">TODAY()</f>
        <v>46247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Dishant Shah</dc:creator>
  <cp:lastModifiedBy>Dishant Shah</cp:lastModifiedBy>
  <dcterms:created xsi:type="dcterms:W3CDTF">2026-08-13T00:09:48Z</dcterms:created>
  <dcterms:modified xsi:type="dcterms:W3CDTF">2026-08-13T05:24:23Z</dcterms:modified>
</cp:coreProperties>
</file>